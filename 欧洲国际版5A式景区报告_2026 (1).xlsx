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欧洲景区底表" sheetId="1" state="visible" r:id="rId1"/>
    <sheet xmlns:r="http://schemas.openxmlformats.org/officeDocument/2006/relationships" name="评分权重" sheetId="2" state="visible" r:id="rId2"/>
    <sheet xmlns:r="http://schemas.openxmlformats.org/officeDocument/2006/relationships" name="评分映射" sheetId="3" state="hidden" r:id="rId3"/>
    <sheet xmlns:r="http://schemas.openxmlformats.org/officeDocument/2006/relationships" name="综合TOP10" sheetId="4" state="visible" r:id="rId4"/>
    <sheet xmlns:r="http://schemas.openxmlformats.org/officeDocument/2006/relationships" name="场景建议" sheetId="5" state="visible" r:id="rId5"/>
    <sheet xmlns:r="http://schemas.openxmlformats.org/officeDocument/2006/relationships" name="方法说明" sheetId="6" state="visible" r:id="rId6"/>
    <sheet xmlns:r="http://schemas.openxmlformats.org/officeDocument/2006/relationships" name="公式校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uropeScenicTable" displayName="EuropeScenicTable" ref="A1:X31" headerRowCount="1">
  <autoFilter ref="A1:X31"/>
  <tableColumns count="24">
    <tableColumn id="1" name="国家"/>
    <tableColumn id="2" name="城市"/>
    <tableColumn id="3" name="景区"/>
    <tableColumn id="4" name="游客口碑"/>
    <tableColumn id="5" name="亲子友好度"/>
    <tableColumn id="6" name="老人友好度"/>
    <tableColumn id="7" name="夫妻友好度"/>
    <tableColumn id="8" name="一人游友好度"/>
    <tableColumn id="9" name="游览时长"/>
    <tableColumn id="10" name="游览时长评分"/>
    <tableColumn id="11" name="平均酒景预算"/>
    <tableColumn id="12" name="预算评分"/>
    <tableColumn id="13" name="城市交通可达性"/>
    <tableColumn id="14" name="季节适宜性"/>
    <tableColumn id="15" name="季节评分"/>
    <tableColumn id="16" name="最佳旅游季节和月份"/>
    <tableColumn id="17" name="文化/生态/独特价值"/>
    <tableColumn id="18" name="基础设施与配套"/>
    <tableColumn id="19" name="性价比"/>
    <tableColumn id="20" name="旅游安全度"/>
    <tableColumn id="21" name="华人安全度"/>
    <tableColumn id="22" name="适合多大年龄段的小朋友一起出行"/>
    <tableColumn id="23" name="综合量化加权满意度"/>
    <tableColumn id="24" name="来源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uropeFormulaTable" displayName="EuropeFormulaTable" ref="A1:X31" headerRowCount="1">
  <autoFilter ref="A1:X31"/>
  <tableColumns count="24">
    <tableColumn id="1" name="国家"/>
    <tableColumn id="2" name="城市"/>
    <tableColumn id="3" name="景区"/>
    <tableColumn id="4" name="游客口碑"/>
    <tableColumn id="5" name="亲子友好度"/>
    <tableColumn id="6" name="老人友好度"/>
    <tableColumn id="7" name="夫妻友好度"/>
    <tableColumn id="8" name="一人游友好度"/>
    <tableColumn id="9" name="游览时长"/>
    <tableColumn id="10" name="游览时长评分"/>
    <tableColumn id="11" name="平均酒景预算"/>
    <tableColumn id="12" name="预算评分"/>
    <tableColumn id="13" name="城市交通可达性"/>
    <tableColumn id="14" name="季节适宜性"/>
    <tableColumn id="15" name="季节评分"/>
    <tableColumn id="16" name="最佳旅游季节和月份"/>
    <tableColumn id="17" name="文化/生态/独特价值"/>
    <tableColumn id="18" name="基础设施与配套"/>
    <tableColumn id="19" name="性价比"/>
    <tableColumn id="20" name="旅游安全度"/>
    <tableColumn id="21" name="华人安全度"/>
    <tableColumn id="22" name="适合多大年龄段的小朋友一起出行"/>
    <tableColumn id="23" name="综合量化加权满意度"/>
    <tableColumn id="24" name="来源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22" customWidth="1" min="14" max="14"/>
    <col width="10" customWidth="1" min="15" max="15"/>
    <col width="18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6" customWidth="1" min="22" max="22"/>
    <col width="12" customWidth="1" min="23" max="23"/>
    <col width="26" customWidth="1" min="24" max="24"/>
    <col hidden="1" width="10" customWidth="1" min="25" max="25"/>
  </cols>
  <sheetData>
    <row r="1">
      <c r="A1" s="1" t="inlineStr">
        <is>
          <t>国家</t>
        </is>
      </c>
      <c r="B1" s="1" t="inlineStr">
        <is>
          <t>城市</t>
        </is>
      </c>
      <c r="C1" s="1" t="inlineStr">
        <is>
          <t>景区</t>
        </is>
      </c>
      <c r="D1" s="1" t="inlineStr">
        <is>
          <t>游客口碑</t>
        </is>
      </c>
      <c r="E1" s="1" t="inlineStr">
        <is>
          <t>亲子友好度</t>
        </is>
      </c>
      <c r="F1" s="1" t="inlineStr">
        <is>
          <t>老人友好度</t>
        </is>
      </c>
      <c r="G1" s="1" t="inlineStr">
        <is>
          <t>夫妻友好度</t>
        </is>
      </c>
      <c r="H1" s="1" t="inlineStr">
        <is>
          <t>一人游友好度</t>
        </is>
      </c>
      <c r="I1" s="1" t="inlineStr">
        <is>
          <t>游览时长</t>
        </is>
      </c>
      <c r="J1" s="1" t="inlineStr">
        <is>
          <t>游览时长评分</t>
        </is>
      </c>
      <c r="K1" s="1" t="inlineStr">
        <is>
          <t>平均酒景预算</t>
        </is>
      </c>
      <c r="L1" s="1" t="inlineStr">
        <is>
          <t>预算评分</t>
        </is>
      </c>
      <c r="M1" s="1" t="inlineStr">
        <is>
          <t>城市交通可达性</t>
        </is>
      </c>
      <c r="N1" s="1" t="inlineStr">
        <is>
          <t>季节适宜性</t>
        </is>
      </c>
      <c r="O1" s="1" t="inlineStr">
        <is>
          <t>季节评分</t>
        </is>
      </c>
      <c r="P1" s="1" t="inlineStr">
        <is>
          <t>最佳旅游季节和月份</t>
        </is>
      </c>
      <c r="Q1" s="1" t="inlineStr">
        <is>
          <t>文化/生态/独特价值</t>
        </is>
      </c>
      <c r="R1" s="1" t="inlineStr">
        <is>
          <t>基础设施与配套</t>
        </is>
      </c>
      <c r="S1" s="1" t="inlineStr">
        <is>
          <t>性价比</t>
        </is>
      </c>
      <c r="T1" s="1" t="inlineStr">
        <is>
          <t>旅游安全度</t>
        </is>
      </c>
      <c r="U1" s="1" t="inlineStr">
        <is>
          <t>华人安全度</t>
        </is>
      </c>
      <c r="V1" s="1" t="inlineStr">
        <is>
          <t>适合多大年龄段的小朋友一起出行</t>
        </is>
      </c>
      <c r="W1" s="1" t="inlineStr">
        <is>
          <t>综合量化加权满意度</t>
        </is>
      </c>
      <c r="X1" s="1" t="inlineStr">
        <is>
          <t>来源/备注</t>
        </is>
      </c>
      <c r="Y1" s="1" t="inlineStr">
        <is>
          <t>价值评分</t>
        </is>
      </c>
    </row>
    <row r="2">
      <c r="A2" s="2" t="inlineStr">
        <is>
          <t>法国</t>
        </is>
      </c>
      <c r="B2" s="2" t="inlineStr">
        <is>
          <t>巴黎</t>
        </is>
      </c>
      <c r="C2" s="2" t="inlineStr">
        <is>
          <t>卢浮宫+塞纳河历史轴线</t>
        </is>
      </c>
      <c r="D2" s="3" t="n">
        <v>9.5</v>
      </c>
      <c r="E2" s="3" t="n">
        <v>8.5</v>
      </c>
      <c r="F2" s="3" t="n">
        <v>8</v>
      </c>
      <c r="G2" s="3" t="n">
        <v>9.5</v>
      </c>
      <c r="H2" s="3" t="n">
        <v>8.800000000000001</v>
      </c>
      <c r="I2" s="2" t="inlineStr">
        <is>
          <t>1.5-2天</t>
        </is>
      </c>
      <c r="J2" s="3" t="n">
        <v>8.800000000000001</v>
      </c>
      <c r="K2" s="2" t="inlineStr">
        <is>
          <t>中高</t>
        </is>
      </c>
      <c r="L2" s="3" t="n">
        <v>7.2</v>
      </c>
      <c r="M2" s="3" t="n">
        <v>10</v>
      </c>
      <c r="N2" s="2" t="inlineStr">
        <is>
          <t>全年可游，冬季体验略弱</t>
        </is>
      </c>
      <c r="O2" s="3" t="n">
        <v>8.699999999999999</v>
      </c>
      <c r="P2" s="2" t="inlineStr">
        <is>
          <t>4-6月,9-10月</t>
        </is>
      </c>
      <c r="Q2" s="2" t="inlineStr">
        <is>
          <t>文化/独特</t>
        </is>
      </c>
      <c r="R2" s="3" t="n">
        <v>9.5</v>
      </c>
      <c r="S2" s="3" t="n">
        <v>7.8</v>
      </c>
      <c r="T2" s="3" t="n">
        <v>8</v>
      </c>
      <c r="U2" s="3" t="n">
        <v>7.6</v>
      </c>
      <c r="V2" s="2" t="inlineStr">
        <is>
          <t>6岁+</t>
        </is>
      </c>
      <c r="W2" s="3" t="n">
        <v>88.7</v>
      </c>
      <c r="X2" s="2" t="inlineStr">
        <is>
          <t>由《欧洲国际版5A式景区报告_2026》转表；综合分按权重表公式重算</t>
        </is>
      </c>
      <c r="Y2" s="3" t="n">
        <v>9.5</v>
      </c>
    </row>
    <row r="3">
      <c r="A3" s="2" t="inlineStr">
        <is>
          <t>英国</t>
        </is>
      </c>
      <c r="B3" s="2" t="inlineStr">
        <is>
          <t>伦敦</t>
        </is>
      </c>
      <c r="C3" s="2" t="inlineStr">
        <is>
          <t>大英博物馆+威斯敏斯特片区</t>
        </is>
      </c>
      <c r="D3" s="3" t="n">
        <v>9.4</v>
      </c>
      <c r="E3" s="3" t="n">
        <v>8.800000000000001</v>
      </c>
      <c r="F3" s="3" t="n">
        <v>8.1</v>
      </c>
      <c r="G3" s="3" t="n">
        <v>9</v>
      </c>
      <c r="H3" s="3" t="n">
        <v>9</v>
      </c>
      <c r="I3" s="2" t="inlineStr">
        <is>
          <t>1-2天</t>
        </is>
      </c>
      <c r="J3" s="3" t="n">
        <v>9</v>
      </c>
      <c r="K3" s="2" t="inlineStr">
        <is>
          <t>中高</t>
        </is>
      </c>
      <c r="L3" s="3" t="n">
        <v>7.2</v>
      </c>
      <c r="M3" s="3" t="n">
        <v>10</v>
      </c>
      <c r="N3" s="2" t="inlineStr">
        <is>
          <t>全年可游</t>
        </is>
      </c>
      <c r="O3" s="3" t="n">
        <v>9.199999999999999</v>
      </c>
      <c r="P3" s="2" t="inlineStr">
        <is>
          <t>4-6月,9-10月</t>
        </is>
      </c>
      <c r="Q3" s="2" t="inlineStr">
        <is>
          <t>文化</t>
        </is>
      </c>
      <c r="R3" s="3" t="n">
        <v>9.5</v>
      </c>
      <c r="S3" s="3" t="n">
        <v>7.8</v>
      </c>
      <c r="T3" s="3" t="n">
        <v>8.300000000000001</v>
      </c>
      <c r="U3" s="3" t="n">
        <v>7.8</v>
      </c>
      <c r="V3" s="2" t="inlineStr">
        <is>
          <t>5岁+</t>
        </is>
      </c>
      <c r="W3" s="3" t="n">
        <v>88.8</v>
      </c>
      <c r="X3" s="2" t="inlineStr">
        <is>
          <t>由《欧洲国际版5A式景区报告_2026》转表；综合分按权重表公式重算</t>
        </is>
      </c>
      <c r="Y3" s="3" t="n">
        <v>9.199999999999999</v>
      </c>
    </row>
    <row r="4">
      <c r="A4" s="2" t="inlineStr">
        <is>
          <t>西班牙</t>
        </is>
      </c>
      <c r="B4" s="2" t="inlineStr">
        <is>
          <t>巴塞罗那</t>
        </is>
      </c>
      <c r="C4" s="2" t="inlineStr">
        <is>
          <t>圣家堂+高迪建筑群</t>
        </is>
      </c>
      <c r="D4" s="3" t="n">
        <v>9.4</v>
      </c>
      <c r="E4" s="3" t="n">
        <v>8.4</v>
      </c>
      <c r="F4" s="3" t="n">
        <v>7.5</v>
      </c>
      <c r="G4" s="3" t="n">
        <v>9.300000000000001</v>
      </c>
      <c r="H4" s="3" t="n">
        <v>8.9</v>
      </c>
      <c r="I4" s="2" t="inlineStr">
        <is>
          <t>1-2天</t>
        </is>
      </c>
      <c r="J4" s="3" t="n">
        <v>9</v>
      </c>
      <c r="K4" s="2" t="inlineStr">
        <is>
          <t>中</t>
        </is>
      </c>
      <c r="L4" s="3" t="n">
        <v>8.199999999999999</v>
      </c>
      <c r="M4" s="3" t="n">
        <v>10</v>
      </c>
      <c r="N4" s="2" t="inlineStr">
        <is>
          <t>全年可游</t>
        </is>
      </c>
      <c r="O4" s="3" t="n">
        <v>9.199999999999999</v>
      </c>
      <c r="P4" s="2" t="inlineStr">
        <is>
          <t>4-6月,9-10月</t>
        </is>
      </c>
      <c r="Q4" s="2" t="inlineStr">
        <is>
          <t>文化/独特</t>
        </is>
      </c>
      <c r="R4" s="3" t="n">
        <v>9.199999999999999</v>
      </c>
      <c r="S4" s="3" t="n">
        <v>8</v>
      </c>
      <c r="T4" s="3" t="n">
        <v>8.199999999999999</v>
      </c>
      <c r="U4" s="3" t="n">
        <v>7.4</v>
      </c>
      <c r="V4" s="2" t="inlineStr">
        <is>
          <t>5岁+</t>
        </is>
      </c>
      <c r="W4" s="3" t="n">
        <v>88.8</v>
      </c>
      <c r="X4" s="2" t="inlineStr">
        <is>
          <t>由《欧洲国际版5A式景区报告_2026》转表；综合分按权重表公式重算</t>
        </is>
      </c>
      <c r="Y4" s="3" t="n">
        <v>9.5</v>
      </c>
    </row>
    <row r="5">
      <c r="A5" s="2" t="inlineStr">
        <is>
          <t>瑞士</t>
        </is>
      </c>
      <c r="B5" s="2" t="inlineStr">
        <is>
          <t>琉森/因特拉肯</t>
        </is>
      </c>
      <c r="C5" s="2" t="inlineStr">
        <is>
          <t>少女峰地区</t>
        </is>
      </c>
      <c r="D5" s="3" t="n">
        <v>9.5</v>
      </c>
      <c r="E5" s="3" t="n">
        <v>9.1</v>
      </c>
      <c r="F5" s="3" t="n">
        <v>7.8</v>
      </c>
      <c r="G5" s="3" t="n">
        <v>9.4</v>
      </c>
      <c r="H5" s="3" t="n">
        <v>9</v>
      </c>
      <c r="I5" s="2" t="inlineStr">
        <is>
          <t>1-2天</t>
        </is>
      </c>
      <c r="J5" s="3" t="n">
        <v>9</v>
      </c>
      <c r="K5" s="2" t="inlineStr">
        <is>
          <t>高</t>
        </is>
      </c>
      <c r="L5" s="3" t="n">
        <v>6.2</v>
      </c>
      <c r="M5" s="3" t="n">
        <v>8.5</v>
      </c>
      <c r="N5" s="2" t="inlineStr">
        <is>
          <t>四季皆宜</t>
        </is>
      </c>
      <c r="O5" s="3" t="n">
        <v>8.300000000000001</v>
      </c>
      <c r="P5" s="2" t="inlineStr">
        <is>
          <t>6-9月,12-2月</t>
        </is>
      </c>
      <c r="Q5" s="2" t="inlineStr">
        <is>
          <t>生态/独特</t>
        </is>
      </c>
      <c r="R5" s="3" t="n">
        <v>9.199999999999999</v>
      </c>
      <c r="S5" s="3" t="n">
        <v>6.8</v>
      </c>
      <c r="T5" s="3" t="n">
        <v>9.199999999999999</v>
      </c>
      <c r="U5" s="3" t="n">
        <v>8.199999999999999</v>
      </c>
      <c r="V5" s="2" t="inlineStr">
        <is>
          <t>5岁+</t>
        </is>
      </c>
      <c r="W5" s="3" t="n">
        <v>86.40000000000001</v>
      </c>
      <c r="X5" s="2" t="inlineStr">
        <is>
          <t>由《欧洲国际版5A式景区报告_2026》转表；综合分按权重表公式重算</t>
        </is>
      </c>
      <c r="Y5" s="3" t="n">
        <v>9</v>
      </c>
    </row>
    <row r="6">
      <c r="A6" s="2" t="inlineStr">
        <is>
          <t>奥地利</t>
        </is>
      </c>
      <c r="B6" s="2" t="inlineStr">
        <is>
          <t>维也纳</t>
        </is>
      </c>
      <c r="C6" s="2" t="inlineStr">
        <is>
          <t>美泉宫+维也纳历史中心</t>
        </is>
      </c>
      <c r="D6" s="3" t="n">
        <v>9.1</v>
      </c>
      <c r="E6" s="3" t="n">
        <v>8.5</v>
      </c>
      <c r="F6" s="3" t="n">
        <v>8.199999999999999</v>
      </c>
      <c r="G6" s="3" t="n">
        <v>8.9</v>
      </c>
      <c r="H6" s="3" t="n">
        <v>8.699999999999999</v>
      </c>
      <c r="I6" s="2" t="inlineStr">
        <is>
          <t>1-2天</t>
        </is>
      </c>
      <c r="J6" s="3" t="n">
        <v>9</v>
      </c>
      <c r="K6" s="2" t="inlineStr">
        <is>
          <t>中</t>
        </is>
      </c>
      <c r="L6" s="3" t="n">
        <v>8.199999999999999</v>
      </c>
      <c r="M6" s="3" t="n">
        <v>9.199999999999999</v>
      </c>
      <c r="N6" s="2" t="inlineStr">
        <is>
          <t>全年可游</t>
        </is>
      </c>
      <c r="O6" s="3" t="n">
        <v>9.199999999999999</v>
      </c>
      <c r="P6" s="2" t="inlineStr">
        <is>
          <t>4-6月,9-12月</t>
        </is>
      </c>
      <c r="Q6" s="2" t="inlineStr">
        <is>
          <t>文化</t>
        </is>
      </c>
      <c r="R6" s="3" t="n">
        <v>9</v>
      </c>
      <c r="S6" s="3" t="n">
        <v>8.199999999999999</v>
      </c>
      <c r="T6" s="3" t="n">
        <v>8.9</v>
      </c>
      <c r="U6" s="3" t="n">
        <v>8.300000000000001</v>
      </c>
      <c r="V6" s="2" t="inlineStr">
        <is>
          <t>4岁+</t>
        </is>
      </c>
      <c r="W6" s="3" t="n">
        <v>88.2</v>
      </c>
      <c r="X6" s="2" t="inlineStr">
        <is>
          <t>由《欧洲国际版5A式景区报告_2026》转表；综合分按权重表公式重算</t>
        </is>
      </c>
      <c r="Y6" s="3" t="n">
        <v>9.199999999999999</v>
      </c>
    </row>
    <row r="7">
      <c r="A7" s="2" t="inlineStr">
        <is>
          <t>芬兰</t>
        </is>
      </c>
      <c r="B7" s="2" t="inlineStr">
        <is>
          <t>赫尔辛基/罗瓦涅米</t>
        </is>
      </c>
      <c r="C7" s="2" t="inlineStr">
        <is>
          <t>圣诞老人村+拉普兰体验</t>
        </is>
      </c>
      <c r="D7" s="3" t="n">
        <v>8.9</v>
      </c>
      <c r="E7" s="3" t="n">
        <v>9.199999999999999</v>
      </c>
      <c r="F7" s="3" t="n">
        <v>7.8</v>
      </c>
      <c r="G7" s="3" t="n">
        <v>8.699999999999999</v>
      </c>
      <c r="H7" s="3" t="n">
        <v>8.800000000000001</v>
      </c>
      <c r="I7" s="2" t="inlineStr">
        <is>
          <t>1-3天</t>
        </is>
      </c>
      <c r="J7" s="3" t="n">
        <v>8</v>
      </c>
      <c r="K7" s="2" t="inlineStr">
        <is>
          <t>中高</t>
        </is>
      </c>
      <c r="L7" s="3" t="n">
        <v>7.2</v>
      </c>
      <c r="M7" s="3" t="n">
        <v>7.5</v>
      </c>
      <c r="N7" s="2" t="inlineStr">
        <is>
          <t>冬季特色强</t>
        </is>
      </c>
      <c r="O7" s="3" t="n">
        <v>8.300000000000001</v>
      </c>
      <c r="P7" s="2" t="inlineStr">
        <is>
          <t>12-3月</t>
        </is>
      </c>
      <c r="Q7" s="2" t="inlineStr">
        <is>
          <t>亲子/生态</t>
        </is>
      </c>
      <c r="R7" s="3" t="n">
        <v>8.699999999999999</v>
      </c>
      <c r="S7" s="3" t="n">
        <v>7</v>
      </c>
      <c r="T7" s="3" t="n">
        <v>9.1</v>
      </c>
      <c r="U7" s="3" t="n">
        <v>8.4</v>
      </c>
      <c r="V7" s="2" t="inlineStr">
        <is>
          <t>3-12岁</t>
        </is>
      </c>
      <c r="W7" s="3" t="n">
        <v>84</v>
      </c>
      <c r="X7" s="2" t="inlineStr">
        <is>
          <t>由《欧洲国际版5A式景区报告_2026》转表；综合分按权重表公式重算</t>
        </is>
      </c>
      <c r="Y7" s="3" t="n">
        <v>9</v>
      </c>
    </row>
    <row r="8">
      <c r="A8" s="2" t="inlineStr">
        <is>
          <t>葡萄牙</t>
        </is>
      </c>
      <c r="B8" s="2" t="inlineStr">
        <is>
          <t>辛特拉</t>
        </is>
      </c>
      <c r="C8" s="2" t="inlineStr">
        <is>
          <t>辛特拉文化景观</t>
        </is>
      </c>
      <c r="D8" s="3" t="n">
        <v>9.1</v>
      </c>
      <c r="E8" s="3" t="n">
        <v>8.199999999999999</v>
      </c>
      <c r="F8" s="3" t="n">
        <v>7.4</v>
      </c>
      <c r="G8" s="3" t="n">
        <v>9</v>
      </c>
      <c r="H8" s="3" t="n">
        <v>8.800000000000001</v>
      </c>
      <c r="I8" s="2" t="inlineStr">
        <is>
          <t>1天</t>
        </is>
      </c>
      <c r="J8" s="3" t="n">
        <v>9.5</v>
      </c>
      <c r="K8" s="2" t="inlineStr">
        <is>
          <t>中</t>
        </is>
      </c>
      <c r="L8" s="3" t="n">
        <v>8.199999999999999</v>
      </c>
      <c r="M8" s="3" t="n">
        <v>8.800000000000001</v>
      </c>
      <c r="N8" s="2" t="inlineStr">
        <is>
          <t>春秋最佳</t>
        </is>
      </c>
      <c r="O8" s="3" t="n">
        <v>8.800000000000001</v>
      </c>
      <c r="P8" s="2" t="inlineStr">
        <is>
          <t>4-6月,9-10月</t>
        </is>
      </c>
      <c r="Q8" s="2" t="inlineStr">
        <is>
          <t>文化/自然</t>
        </is>
      </c>
      <c r="R8" s="3" t="n">
        <v>8.4</v>
      </c>
      <c r="S8" s="3" t="n">
        <v>8.699999999999999</v>
      </c>
      <c r="T8" s="3" t="n">
        <v>8.800000000000001</v>
      </c>
      <c r="U8" s="3" t="n">
        <v>8.300000000000001</v>
      </c>
      <c r="V8" s="2" t="inlineStr">
        <is>
          <t>5岁+</t>
        </is>
      </c>
      <c r="W8" s="3" t="n">
        <v>87.09999999999999</v>
      </c>
      <c r="X8" s="2" t="inlineStr">
        <is>
          <t>由《欧洲国际版5A式景区报告_2026》转表；综合分按权重表公式重算</t>
        </is>
      </c>
      <c r="Y8" s="3" t="n">
        <v>9.300000000000001</v>
      </c>
    </row>
    <row r="9">
      <c r="A9" s="2" t="inlineStr">
        <is>
          <t>荷兰</t>
        </is>
      </c>
      <c r="B9" s="2" t="inlineStr">
        <is>
          <t>阿姆斯特丹</t>
        </is>
      </c>
      <c r="C9" s="2" t="inlineStr">
        <is>
          <t>运河环带+博物馆区</t>
        </is>
      </c>
      <c r="D9" s="3" t="n">
        <v>9</v>
      </c>
      <c r="E9" s="3" t="n">
        <v>8.6</v>
      </c>
      <c r="F9" s="3" t="n">
        <v>8</v>
      </c>
      <c r="G9" s="3" t="n">
        <v>8.800000000000001</v>
      </c>
      <c r="H9" s="3" t="n">
        <v>8.9</v>
      </c>
      <c r="I9" s="2" t="inlineStr">
        <is>
          <t>1-2天</t>
        </is>
      </c>
      <c r="J9" s="3" t="n">
        <v>9</v>
      </c>
      <c r="K9" s="2" t="inlineStr">
        <is>
          <t>中高</t>
        </is>
      </c>
      <c r="L9" s="3" t="n">
        <v>7.2</v>
      </c>
      <c r="M9" s="3" t="n">
        <v>10</v>
      </c>
      <c r="N9" s="2" t="inlineStr">
        <is>
          <t>春夏秋佳</t>
        </is>
      </c>
      <c r="O9" s="3" t="n">
        <v>8.6</v>
      </c>
      <c r="P9" s="2" t="inlineStr">
        <is>
          <t>4-10月</t>
        </is>
      </c>
      <c r="Q9" s="2" t="inlineStr">
        <is>
          <t>文化</t>
        </is>
      </c>
      <c r="R9" s="3" t="n">
        <v>9</v>
      </c>
      <c r="S9" s="3" t="n">
        <v>7.4</v>
      </c>
      <c r="T9" s="3" t="n">
        <v>8.699999999999999</v>
      </c>
      <c r="U9" s="3" t="n">
        <v>8.1</v>
      </c>
      <c r="V9" s="2" t="inlineStr">
        <is>
          <t>4岁+</t>
        </is>
      </c>
      <c r="W9" s="3" t="n">
        <v>87.3</v>
      </c>
      <c r="X9" s="2" t="inlineStr">
        <is>
          <t>由《欧洲国际版5A式景区报告_2026》转表；综合分按权重表公式重算</t>
        </is>
      </c>
      <c r="Y9" s="3" t="n">
        <v>9.199999999999999</v>
      </c>
    </row>
    <row r="10">
      <c r="A10" s="2" t="inlineStr">
        <is>
          <t>捷克</t>
        </is>
      </c>
      <c r="B10" s="2" t="inlineStr">
        <is>
          <t>布拉格</t>
        </is>
      </c>
      <c r="C10" s="2" t="inlineStr">
        <is>
          <t>布拉格历史中心</t>
        </is>
      </c>
      <c r="D10" s="3" t="n">
        <v>9.199999999999999</v>
      </c>
      <c r="E10" s="3" t="n">
        <v>7.9</v>
      </c>
      <c r="F10" s="3" t="n">
        <v>7</v>
      </c>
      <c r="G10" s="3" t="n">
        <v>9.4</v>
      </c>
      <c r="H10" s="3" t="n">
        <v>8.9</v>
      </c>
      <c r="I10" s="2" t="inlineStr">
        <is>
          <t>1-2天</t>
        </is>
      </c>
      <c r="J10" s="3" t="n">
        <v>9</v>
      </c>
      <c r="K10" s="2" t="inlineStr">
        <is>
          <t>中低</t>
        </is>
      </c>
      <c r="L10" s="3" t="n">
        <v>8.699999999999999</v>
      </c>
      <c r="M10" s="3" t="n">
        <v>9</v>
      </c>
      <c r="N10" s="2" t="inlineStr">
        <is>
          <t>春秋最佳</t>
        </is>
      </c>
      <c r="O10" s="3" t="n">
        <v>8.800000000000001</v>
      </c>
      <c r="P10" s="2" t="inlineStr">
        <is>
          <t>4-6月,9-10月</t>
        </is>
      </c>
      <c r="Q10" s="2" t="inlineStr">
        <is>
          <t>文化/独特</t>
        </is>
      </c>
      <c r="R10" s="3" t="n">
        <v>8.4</v>
      </c>
      <c r="S10" s="3" t="n">
        <v>9</v>
      </c>
      <c r="T10" s="3" t="n">
        <v>8.199999999999999</v>
      </c>
      <c r="U10" s="3" t="n">
        <v>7.7</v>
      </c>
      <c r="V10" s="2" t="inlineStr">
        <is>
          <t>7岁+</t>
        </is>
      </c>
      <c r="W10" s="3" t="n">
        <v>87.2</v>
      </c>
      <c r="X10" s="2" t="inlineStr">
        <is>
          <t>由《欧洲国际版5A式景区报告_2026》转表；综合分按权重表公式重算</t>
        </is>
      </c>
      <c r="Y10" s="3" t="n">
        <v>9.5</v>
      </c>
    </row>
    <row r="11">
      <c r="A11" s="2" t="inlineStr">
        <is>
          <t>挪威</t>
        </is>
      </c>
      <c r="B11" s="2" t="inlineStr">
        <is>
          <t>卑尔根/弗洛姆</t>
        </is>
      </c>
      <c r="C11" s="2" t="inlineStr">
        <is>
          <t>挪威峡湾</t>
        </is>
      </c>
      <c r="D11" s="3" t="n">
        <v>9.5</v>
      </c>
      <c r="E11" s="3" t="n">
        <v>8.800000000000001</v>
      </c>
      <c r="F11" s="3" t="n">
        <v>7.8</v>
      </c>
      <c r="G11" s="3" t="n">
        <v>9.4</v>
      </c>
      <c r="H11" s="3" t="n">
        <v>9</v>
      </c>
      <c r="I11" s="2" t="inlineStr">
        <is>
          <t>1-3天</t>
        </is>
      </c>
      <c r="J11" s="3" t="n">
        <v>8</v>
      </c>
      <c r="K11" s="2" t="inlineStr">
        <is>
          <t>高</t>
        </is>
      </c>
      <c r="L11" s="3" t="n">
        <v>6.2</v>
      </c>
      <c r="M11" s="3" t="n">
        <v>7.2</v>
      </c>
      <c r="N11" s="2" t="inlineStr">
        <is>
          <t>夏季最佳</t>
        </is>
      </c>
      <c r="O11" s="3" t="n">
        <v>8.1</v>
      </c>
      <c r="P11" s="2" t="inlineStr">
        <is>
          <t>6-8月</t>
        </is>
      </c>
      <c r="Q11" s="2" t="inlineStr">
        <is>
          <t>生态/独特</t>
        </is>
      </c>
      <c r="R11" s="3" t="n">
        <v>8.5</v>
      </c>
      <c r="S11" s="3" t="n">
        <v>6.6</v>
      </c>
      <c r="T11" s="3" t="n">
        <v>9.4</v>
      </c>
      <c r="U11" s="3" t="n">
        <v>8.300000000000001</v>
      </c>
      <c r="V11" s="2" t="inlineStr">
        <is>
          <t>6岁+</t>
        </is>
      </c>
      <c r="W11" s="3" t="n">
        <v>84</v>
      </c>
      <c r="X11" s="2" t="inlineStr">
        <is>
          <t>由《欧洲国际版5A式景区报告_2026》转表；综合分按权重表公式重算</t>
        </is>
      </c>
      <c r="Y11" s="3" t="n">
        <v>9</v>
      </c>
    </row>
    <row r="12">
      <c r="A12" s="2" t="inlineStr">
        <is>
          <t>意大利</t>
        </is>
      </c>
      <c r="B12" s="2" t="inlineStr">
        <is>
          <t>罗马</t>
        </is>
      </c>
      <c r="C12" s="2" t="inlineStr">
        <is>
          <t>罗马斗兽场-古罗马广场</t>
        </is>
      </c>
      <c r="D12" s="3" t="n">
        <v>9.4</v>
      </c>
      <c r="E12" s="3" t="n">
        <v>7.8</v>
      </c>
      <c r="F12" s="3" t="n">
        <v>6.8</v>
      </c>
      <c r="G12" s="3" t="n">
        <v>9.300000000000001</v>
      </c>
      <c r="H12" s="3" t="n">
        <v>8.5</v>
      </c>
      <c r="I12" s="2" t="inlineStr">
        <is>
          <t>1天</t>
        </is>
      </c>
      <c r="J12" s="3" t="n">
        <v>9.5</v>
      </c>
      <c r="K12" s="2" t="inlineStr">
        <is>
          <t>中</t>
        </is>
      </c>
      <c r="L12" s="3" t="n">
        <v>8.199999999999999</v>
      </c>
      <c r="M12" s="3" t="n">
        <v>9.5</v>
      </c>
      <c r="N12" s="2" t="inlineStr">
        <is>
          <t>避开盛夏</t>
        </is>
      </c>
      <c r="O12" s="3" t="n">
        <v>8.300000000000001</v>
      </c>
      <c r="P12" s="2" t="inlineStr">
        <is>
          <t>3-5月,10-11月</t>
        </is>
      </c>
      <c r="Q12" s="2" t="inlineStr">
        <is>
          <t>文化/独特</t>
        </is>
      </c>
      <c r="R12" s="3" t="n">
        <v>8.800000000000001</v>
      </c>
      <c r="S12" s="3" t="n">
        <v>7.9</v>
      </c>
      <c r="T12" s="3" t="n">
        <v>7.8</v>
      </c>
      <c r="U12" s="3" t="n">
        <v>7.2</v>
      </c>
      <c r="V12" s="2" t="inlineStr">
        <is>
          <t>8岁+</t>
        </is>
      </c>
      <c r="W12" s="3" t="n">
        <v>86.2</v>
      </c>
      <c r="X12" s="2" t="inlineStr">
        <is>
          <t>由《欧洲国际版5A式景区报告_2026》转表；综合分按权重表公式重算</t>
        </is>
      </c>
      <c r="Y12" s="3" t="n">
        <v>9.5</v>
      </c>
    </row>
    <row r="13">
      <c r="A13" s="2" t="inlineStr">
        <is>
          <t>葡萄牙</t>
        </is>
      </c>
      <c r="B13" s="2" t="inlineStr">
        <is>
          <t>波尔图</t>
        </is>
      </c>
      <c r="C13" s="2" t="inlineStr">
        <is>
          <t>杜罗河谷+波尔图历史区</t>
        </is>
      </c>
      <c r="D13" s="3" t="n">
        <v>8.9</v>
      </c>
      <c r="E13" s="3" t="n">
        <v>7.8</v>
      </c>
      <c r="F13" s="3" t="n">
        <v>7.6</v>
      </c>
      <c r="G13" s="3" t="n">
        <v>9</v>
      </c>
      <c r="H13" s="3" t="n">
        <v>8.9</v>
      </c>
      <c r="I13" s="2" t="inlineStr">
        <is>
          <t>1-2天</t>
        </is>
      </c>
      <c r="J13" s="3" t="n">
        <v>9</v>
      </c>
      <c r="K13" s="2" t="inlineStr">
        <is>
          <t>中</t>
        </is>
      </c>
      <c r="L13" s="3" t="n">
        <v>8.199999999999999</v>
      </c>
      <c r="M13" s="3" t="n">
        <v>8.199999999999999</v>
      </c>
      <c r="N13" s="2" t="inlineStr">
        <is>
          <t>春秋最佳</t>
        </is>
      </c>
      <c r="O13" s="3" t="n">
        <v>8.800000000000001</v>
      </c>
      <c r="P13" s="2" t="inlineStr">
        <is>
          <t>4-6月,9-10月</t>
        </is>
      </c>
      <c r="Q13" s="2" t="inlineStr">
        <is>
          <t>文化/风景</t>
        </is>
      </c>
      <c r="R13" s="3" t="n">
        <v>8.300000000000001</v>
      </c>
      <c r="S13" s="3" t="n">
        <v>8.800000000000001</v>
      </c>
      <c r="T13" s="3" t="n">
        <v>8.800000000000001</v>
      </c>
      <c r="U13" s="3" t="n">
        <v>8.199999999999999</v>
      </c>
      <c r="V13" s="2" t="inlineStr">
        <is>
          <t>6岁+</t>
        </is>
      </c>
      <c r="W13" s="3" t="n">
        <v>85.5</v>
      </c>
      <c r="X13" s="2" t="inlineStr">
        <is>
          <t>由《欧洲国际版5A式景区报告_2026》转表；综合分按权重表公式重算</t>
        </is>
      </c>
      <c r="Y13" s="3" t="n">
        <v>9</v>
      </c>
    </row>
    <row r="14">
      <c r="A14" s="2" t="inlineStr">
        <is>
          <t>瑞士</t>
        </is>
      </c>
      <c r="B14" s="2" t="inlineStr">
        <is>
          <t>采尔马特</t>
        </is>
      </c>
      <c r="C14" s="2" t="inlineStr">
        <is>
          <t>马特洪峰地区</t>
        </is>
      </c>
      <c r="D14" s="3" t="n">
        <v>9.4</v>
      </c>
      <c r="E14" s="3" t="n">
        <v>8.5</v>
      </c>
      <c r="F14" s="3" t="n">
        <v>7.4</v>
      </c>
      <c r="G14" s="3" t="n">
        <v>9.5</v>
      </c>
      <c r="H14" s="3" t="n">
        <v>9</v>
      </c>
      <c r="I14" s="2" t="inlineStr">
        <is>
          <t>1-2天</t>
        </is>
      </c>
      <c r="J14" s="3" t="n">
        <v>9</v>
      </c>
      <c r="K14" s="2" t="inlineStr">
        <is>
          <t>高</t>
        </is>
      </c>
      <c r="L14" s="3" t="n">
        <v>6.2</v>
      </c>
      <c r="M14" s="3" t="n">
        <v>7.8</v>
      </c>
      <c r="N14" s="2" t="inlineStr">
        <is>
          <t>四季皆宜</t>
        </is>
      </c>
      <c r="O14" s="3" t="n">
        <v>8.300000000000001</v>
      </c>
      <c r="P14" s="2" t="inlineStr">
        <is>
          <t>6-9月,12-2月</t>
        </is>
      </c>
      <c r="Q14" s="2" t="inlineStr">
        <is>
          <t>生态/独特</t>
        </is>
      </c>
      <c r="R14" s="3" t="n">
        <v>8.800000000000001</v>
      </c>
      <c r="S14" s="3" t="n">
        <v>6.5</v>
      </c>
      <c r="T14" s="3" t="n">
        <v>9.1</v>
      </c>
      <c r="U14" s="3" t="n">
        <v>8</v>
      </c>
      <c r="V14" s="2" t="inlineStr">
        <is>
          <t>6岁+</t>
        </is>
      </c>
      <c r="W14" s="3" t="n">
        <v>84.2</v>
      </c>
      <c r="X14" s="2" t="inlineStr">
        <is>
          <t>由《欧洲国际版5A式景区报告_2026》转表；综合分按权重表公式重算</t>
        </is>
      </c>
      <c r="Y14" s="3" t="n">
        <v>9</v>
      </c>
    </row>
    <row r="15">
      <c r="A15" s="2" t="inlineStr">
        <is>
          <t>奥地利</t>
        </is>
      </c>
      <c r="B15" s="2" t="inlineStr">
        <is>
          <t>萨尔茨堡</t>
        </is>
      </c>
      <c r="C15" s="2" t="inlineStr">
        <is>
          <t>萨尔茨堡老城</t>
        </is>
      </c>
      <c r="D15" s="3" t="n">
        <v>8.9</v>
      </c>
      <c r="E15" s="3" t="n">
        <v>8</v>
      </c>
      <c r="F15" s="3" t="n">
        <v>8</v>
      </c>
      <c r="G15" s="3" t="n">
        <v>8.800000000000001</v>
      </c>
      <c r="H15" s="3" t="n">
        <v>8.6</v>
      </c>
      <c r="I15" s="2" t="inlineStr">
        <is>
          <t>1天</t>
        </is>
      </c>
      <c r="J15" s="3" t="n">
        <v>9.5</v>
      </c>
      <c r="K15" s="2" t="inlineStr">
        <is>
          <t>中</t>
        </is>
      </c>
      <c r="L15" s="3" t="n">
        <v>8.199999999999999</v>
      </c>
      <c r="M15" s="3" t="n">
        <v>8.300000000000001</v>
      </c>
      <c r="N15" s="2" t="inlineStr">
        <is>
          <t>全年可游</t>
        </is>
      </c>
      <c r="O15" s="3" t="n">
        <v>9.199999999999999</v>
      </c>
      <c r="P15" s="2" t="inlineStr">
        <is>
          <t>5-10月,12月</t>
        </is>
      </c>
      <c r="Q15" s="2" t="inlineStr">
        <is>
          <t>文化</t>
        </is>
      </c>
      <c r="R15" s="3" t="n">
        <v>8.6</v>
      </c>
      <c r="S15" s="3" t="n">
        <v>8.5</v>
      </c>
      <c r="T15" s="3" t="n">
        <v>8.800000000000001</v>
      </c>
      <c r="U15" s="3" t="n">
        <v>8.199999999999999</v>
      </c>
      <c r="V15" s="2" t="inlineStr">
        <is>
          <t>4岁+</t>
        </is>
      </c>
      <c r="W15" s="3" t="n">
        <v>86.3</v>
      </c>
      <c r="X15" s="2" t="inlineStr">
        <is>
          <t>由《欧洲国际版5A式景区报告_2026》转表；综合分按权重表公式重算</t>
        </is>
      </c>
      <c r="Y15" s="3" t="n">
        <v>9.199999999999999</v>
      </c>
    </row>
    <row r="16">
      <c r="A16" s="2" t="inlineStr">
        <is>
          <t>德国</t>
        </is>
      </c>
      <c r="B16" s="2" t="inlineStr">
        <is>
          <t>新天鹅堡</t>
        </is>
      </c>
      <c r="C16" s="2" t="inlineStr">
        <is>
          <t>新天鹅堡与阿尔卑斯前山</t>
        </is>
      </c>
      <c r="D16" s="3" t="n">
        <v>9.300000000000001</v>
      </c>
      <c r="E16" s="3" t="n">
        <v>8.4</v>
      </c>
      <c r="F16" s="3" t="n">
        <v>7</v>
      </c>
      <c r="G16" s="3" t="n">
        <v>9.5</v>
      </c>
      <c r="H16" s="3" t="n">
        <v>8.800000000000001</v>
      </c>
      <c r="I16" s="2" t="inlineStr">
        <is>
          <t>0.5-1天</t>
        </is>
      </c>
      <c r="J16" s="3" t="n">
        <v>10</v>
      </c>
      <c r="K16" s="2" t="inlineStr">
        <is>
          <t>中</t>
        </is>
      </c>
      <c r="L16" s="3" t="n">
        <v>8.199999999999999</v>
      </c>
      <c r="M16" s="3" t="n">
        <v>7.5</v>
      </c>
      <c r="N16" s="2" t="inlineStr">
        <is>
          <t>春夏秋佳</t>
        </is>
      </c>
      <c r="O16" s="3" t="n">
        <v>8.6</v>
      </c>
      <c r="P16" s="2" t="inlineStr">
        <is>
          <t>5-10月</t>
        </is>
      </c>
      <c r="Q16" s="2" t="inlineStr">
        <is>
          <t>独特/风景</t>
        </is>
      </c>
      <c r="R16" s="3" t="n">
        <v>8</v>
      </c>
      <c r="S16" s="3" t="n">
        <v>8</v>
      </c>
      <c r="T16" s="3" t="n">
        <v>8.699999999999999</v>
      </c>
      <c r="U16" s="3" t="n">
        <v>8.1</v>
      </c>
      <c r="V16" s="2" t="inlineStr">
        <is>
          <t>6岁+</t>
        </is>
      </c>
      <c r="W16" s="3" t="n">
        <v>85.09999999999999</v>
      </c>
      <c r="X16" s="2" t="inlineStr">
        <is>
          <t>由《欧洲国际版5A式景区报告_2026》转表；综合分按权重表公式重算</t>
        </is>
      </c>
      <c r="Y16" s="3" t="n">
        <v>9</v>
      </c>
    </row>
    <row r="17">
      <c r="A17" s="2" t="inlineStr">
        <is>
          <t>德国</t>
        </is>
      </c>
      <c r="B17" s="2" t="inlineStr">
        <is>
          <t>柏林</t>
        </is>
      </c>
      <c r="C17" s="2" t="inlineStr">
        <is>
          <t>博物馆岛+历史中心</t>
        </is>
      </c>
      <c r="D17" s="3" t="n">
        <v>9</v>
      </c>
      <c r="E17" s="3" t="n">
        <v>7.9</v>
      </c>
      <c r="F17" s="3" t="n">
        <v>7.8</v>
      </c>
      <c r="G17" s="3" t="n">
        <v>8.800000000000001</v>
      </c>
      <c r="H17" s="3" t="n">
        <v>8.800000000000001</v>
      </c>
      <c r="I17" s="2" t="inlineStr">
        <is>
          <t>1-2天</t>
        </is>
      </c>
      <c r="J17" s="3" t="n">
        <v>9</v>
      </c>
      <c r="K17" s="2" t="inlineStr">
        <is>
          <t>中</t>
        </is>
      </c>
      <c r="L17" s="3" t="n">
        <v>8.199999999999999</v>
      </c>
      <c r="M17" s="3" t="n">
        <v>10</v>
      </c>
      <c r="N17" s="2" t="inlineStr">
        <is>
          <t>全年可游</t>
        </is>
      </c>
      <c r="O17" s="3" t="n">
        <v>9.199999999999999</v>
      </c>
      <c r="P17" s="2" t="inlineStr">
        <is>
          <t>5-10月,12月</t>
        </is>
      </c>
      <c r="Q17" s="2" t="inlineStr">
        <is>
          <t>文化</t>
        </is>
      </c>
      <c r="R17" s="3" t="n">
        <v>8.9</v>
      </c>
      <c r="S17" s="3" t="n">
        <v>8.6</v>
      </c>
      <c r="T17" s="3" t="n">
        <v>8.4</v>
      </c>
      <c r="U17" s="3" t="n">
        <v>8.1</v>
      </c>
      <c r="V17" s="2" t="inlineStr">
        <is>
          <t>7岁+</t>
        </is>
      </c>
      <c r="W17" s="3" t="n">
        <v>87.90000000000001</v>
      </c>
      <c r="X17" s="2" t="inlineStr">
        <is>
          <t>由《欧洲国际版5A式景区报告_2026》转表；综合分按权重表公式重算</t>
        </is>
      </c>
      <c r="Y17" s="3" t="n">
        <v>9.199999999999999</v>
      </c>
    </row>
    <row r="18">
      <c r="A18" s="2" t="inlineStr">
        <is>
          <t>匈牙利</t>
        </is>
      </c>
      <c r="B18" s="2" t="inlineStr">
        <is>
          <t>布达佩斯</t>
        </is>
      </c>
      <c r="C18" s="2" t="inlineStr">
        <is>
          <t>多瑙河两岸+城堡山</t>
        </is>
      </c>
      <c r="D18" s="3" t="n">
        <v>9</v>
      </c>
      <c r="E18" s="3" t="n">
        <v>7.8</v>
      </c>
      <c r="F18" s="3" t="n">
        <v>7.2</v>
      </c>
      <c r="G18" s="3" t="n">
        <v>9.1</v>
      </c>
      <c r="H18" s="3" t="n">
        <v>8.800000000000001</v>
      </c>
      <c r="I18" s="2" t="inlineStr">
        <is>
          <t>1-2天</t>
        </is>
      </c>
      <c r="J18" s="3" t="n">
        <v>9</v>
      </c>
      <c r="K18" s="2" t="inlineStr">
        <is>
          <t>中低</t>
        </is>
      </c>
      <c r="L18" s="3" t="n">
        <v>8.699999999999999</v>
      </c>
      <c r="M18" s="3" t="n">
        <v>8.699999999999999</v>
      </c>
      <c r="N18" s="2" t="inlineStr">
        <is>
          <t>春秋最佳</t>
        </is>
      </c>
      <c r="O18" s="3" t="n">
        <v>8.800000000000001</v>
      </c>
      <c r="P18" s="2" t="inlineStr">
        <is>
          <t>4-6月,9-10月</t>
        </is>
      </c>
      <c r="Q18" s="2" t="inlineStr">
        <is>
          <t>文化/温泉</t>
        </is>
      </c>
      <c r="R18" s="3" t="n">
        <v>8.4</v>
      </c>
      <c r="S18" s="3" t="n">
        <v>9.1</v>
      </c>
      <c r="T18" s="3" t="n">
        <v>8</v>
      </c>
      <c r="U18" s="3" t="n">
        <v>7.8</v>
      </c>
      <c r="V18" s="2" t="inlineStr">
        <is>
          <t>6岁+</t>
        </is>
      </c>
      <c r="W18" s="3" t="n">
        <v>85.8</v>
      </c>
      <c r="X18" s="2" t="inlineStr">
        <is>
          <t>由《欧洲国际版5A式景区报告_2026》转表；综合分按权重表公式重算</t>
        </is>
      </c>
      <c r="Y18" s="3" t="n">
        <v>9</v>
      </c>
    </row>
    <row r="19">
      <c r="A19" s="2" t="inlineStr">
        <is>
          <t>法国</t>
        </is>
      </c>
      <c r="B19" s="2" t="inlineStr">
        <is>
          <t>巴黎/凡尔赛</t>
        </is>
      </c>
      <c r="C19" s="2" t="inlineStr">
        <is>
          <t>凡尔赛宫</t>
        </is>
      </c>
      <c r="D19" s="3" t="n">
        <v>9.199999999999999</v>
      </c>
      <c r="E19" s="3" t="n">
        <v>7.8</v>
      </c>
      <c r="F19" s="3" t="n">
        <v>7.2</v>
      </c>
      <c r="G19" s="3" t="n">
        <v>9.199999999999999</v>
      </c>
      <c r="H19" s="3" t="n">
        <v>8</v>
      </c>
      <c r="I19" s="2" t="inlineStr">
        <is>
          <t>0.5-1天</t>
        </is>
      </c>
      <c r="J19" s="3" t="n">
        <v>10</v>
      </c>
      <c r="K19" s="2" t="inlineStr">
        <is>
          <t>中高</t>
        </is>
      </c>
      <c r="L19" s="3" t="n">
        <v>7.2</v>
      </c>
      <c r="M19" s="3" t="n">
        <v>10</v>
      </c>
      <c r="N19" s="2" t="inlineStr">
        <is>
          <t>春秋最佳</t>
        </is>
      </c>
      <c r="O19" s="3" t="n">
        <v>8.800000000000001</v>
      </c>
      <c r="P19" s="2" t="inlineStr">
        <is>
          <t>4-6月,9-10月</t>
        </is>
      </c>
      <c r="Q19" s="2" t="inlineStr">
        <is>
          <t>文化</t>
        </is>
      </c>
      <c r="R19" s="3" t="n">
        <v>9</v>
      </c>
      <c r="S19" s="3" t="n">
        <v>7.2</v>
      </c>
      <c r="T19" s="3" t="n">
        <v>8</v>
      </c>
      <c r="U19" s="3" t="n">
        <v>7.5</v>
      </c>
      <c r="V19" s="2" t="inlineStr">
        <is>
          <t>8岁+</t>
        </is>
      </c>
      <c r="W19" s="3" t="n">
        <v>85.8</v>
      </c>
      <c r="X19" s="2" t="inlineStr">
        <is>
          <t>由《欧洲国际版5A式景区报告_2026》转表；综合分按权重表公式重算</t>
        </is>
      </c>
      <c r="Y19" s="3" t="n">
        <v>9.199999999999999</v>
      </c>
    </row>
    <row r="20">
      <c r="A20" s="2" t="inlineStr">
        <is>
          <t>意大利</t>
        </is>
      </c>
      <c r="B20" s="2" t="inlineStr">
        <is>
          <t>佛罗伦萨</t>
        </is>
      </c>
      <c r="C20" s="2" t="inlineStr">
        <is>
          <t>佛罗伦萨历史中心</t>
        </is>
      </c>
      <c r="D20" s="3" t="n">
        <v>9.199999999999999</v>
      </c>
      <c r="E20" s="3" t="n">
        <v>7.5</v>
      </c>
      <c r="F20" s="3" t="n">
        <v>7</v>
      </c>
      <c r="G20" s="3" t="n">
        <v>9.199999999999999</v>
      </c>
      <c r="H20" s="3" t="n">
        <v>8.800000000000001</v>
      </c>
      <c r="I20" s="2" t="inlineStr">
        <is>
          <t>1-2天</t>
        </is>
      </c>
      <c r="J20" s="3" t="n">
        <v>9</v>
      </c>
      <c r="K20" s="2" t="inlineStr">
        <is>
          <t>中</t>
        </is>
      </c>
      <c r="L20" s="3" t="n">
        <v>8.199999999999999</v>
      </c>
      <c r="M20" s="3" t="n">
        <v>9</v>
      </c>
      <c r="N20" s="2" t="inlineStr">
        <is>
          <t>春秋最佳</t>
        </is>
      </c>
      <c r="O20" s="3" t="n">
        <v>8.800000000000001</v>
      </c>
      <c r="P20" s="2" t="inlineStr">
        <is>
          <t>4-6月,9-10月</t>
        </is>
      </c>
      <c r="Q20" s="2" t="inlineStr">
        <is>
          <t>文化</t>
        </is>
      </c>
      <c r="R20" s="3" t="n">
        <v>8.800000000000001</v>
      </c>
      <c r="S20" s="3" t="n">
        <v>8.1</v>
      </c>
      <c r="T20" s="3" t="n">
        <v>8</v>
      </c>
      <c r="U20" s="3" t="n">
        <v>7.5</v>
      </c>
      <c r="V20" s="2" t="inlineStr">
        <is>
          <t>8岁+</t>
        </is>
      </c>
      <c r="W20" s="3" t="n">
        <v>85.5</v>
      </c>
      <c r="X20" s="2" t="inlineStr">
        <is>
          <t>由《欧洲国际版5A式景区报告_2026》转表；综合分按权重表公式重算</t>
        </is>
      </c>
      <c r="Y20" s="3" t="n">
        <v>9.199999999999999</v>
      </c>
    </row>
    <row r="21">
      <c r="A21" s="2" t="inlineStr">
        <is>
          <t>西班牙</t>
        </is>
      </c>
      <c r="B21" s="2" t="inlineStr">
        <is>
          <t>格拉纳达</t>
        </is>
      </c>
      <c r="C21" s="2" t="inlineStr">
        <is>
          <t>阿尔罕布拉宫</t>
        </is>
      </c>
      <c r="D21" s="3" t="n">
        <v>9.300000000000001</v>
      </c>
      <c r="E21" s="3" t="n">
        <v>7.2</v>
      </c>
      <c r="F21" s="3" t="n">
        <v>6.8</v>
      </c>
      <c r="G21" s="3" t="n">
        <v>9.300000000000001</v>
      </c>
      <c r="H21" s="3" t="n">
        <v>8.4</v>
      </c>
      <c r="I21" s="2" t="inlineStr">
        <is>
          <t>0.5-1天</t>
        </is>
      </c>
      <c r="J21" s="3" t="n">
        <v>10</v>
      </c>
      <c r="K21" s="2" t="inlineStr">
        <is>
          <t>中</t>
        </is>
      </c>
      <c r="L21" s="3" t="n">
        <v>8.199999999999999</v>
      </c>
      <c r="M21" s="3" t="n">
        <v>8.5</v>
      </c>
      <c r="N21" s="2" t="inlineStr">
        <is>
          <t>春秋最佳</t>
        </is>
      </c>
      <c r="O21" s="3" t="n">
        <v>8.800000000000001</v>
      </c>
      <c r="P21" s="2" t="inlineStr">
        <is>
          <t>4-6月,9-10月</t>
        </is>
      </c>
      <c r="Q21" s="2" t="inlineStr">
        <is>
          <t>文化</t>
        </is>
      </c>
      <c r="R21" s="3" t="n">
        <v>8.5</v>
      </c>
      <c r="S21" s="3" t="n">
        <v>8.4</v>
      </c>
      <c r="T21" s="3" t="n">
        <v>8.4</v>
      </c>
      <c r="U21" s="3" t="n">
        <v>7.6</v>
      </c>
      <c r="V21" s="2" t="inlineStr">
        <is>
          <t>8岁+</t>
        </is>
      </c>
      <c r="W21" s="3" t="n">
        <v>85.2</v>
      </c>
      <c r="X21" s="2" t="inlineStr">
        <is>
          <t>由《欧洲国际版5A式景区报告_2026》转表；综合分按权重表公式重算</t>
        </is>
      </c>
      <c r="Y21" s="3" t="n">
        <v>9.199999999999999</v>
      </c>
    </row>
    <row r="22">
      <c r="A22" s="2" t="inlineStr">
        <is>
          <t>英国</t>
        </is>
      </c>
      <c r="B22" s="2" t="inlineStr">
        <is>
          <t>爱丁堡</t>
        </is>
      </c>
      <c r="C22" s="2" t="inlineStr">
        <is>
          <t>爱丁堡旧城新城</t>
        </is>
      </c>
      <c r="D22" s="3" t="n">
        <v>9</v>
      </c>
      <c r="E22" s="3" t="n">
        <v>7.5</v>
      </c>
      <c r="F22" s="3" t="n">
        <v>7.2</v>
      </c>
      <c r="G22" s="3" t="n">
        <v>9</v>
      </c>
      <c r="H22" s="3" t="n">
        <v>8.9</v>
      </c>
      <c r="I22" s="2" t="inlineStr">
        <is>
          <t>1天</t>
        </is>
      </c>
      <c r="J22" s="3" t="n">
        <v>9.5</v>
      </c>
      <c r="K22" s="2" t="inlineStr">
        <is>
          <t>中</t>
        </is>
      </c>
      <c r="L22" s="3" t="n">
        <v>8.199999999999999</v>
      </c>
      <c r="M22" s="3" t="n">
        <v>8.699999999999999</v>
      </c>
      <c r="N22" s="2" t="inlineStr">
        <is>
          <t>夏秋最佳</t>
        </is>
      </c>
      <c r="O22" s="3" t="n">
        <v>8.4</v>
      </c>
      <c r="P22" s="2" t="inlineStr">
        <is>
          <t>5-9月</t>
        </is>
      </c>
      <c r="Q22" s="2" t="inlineStr">
        <is>
          <t>文化/独特</t>
        </is>
      </c>
      <c r="R22" s="3" t="n">
        <v>8.5</v>
      </c>
      <c r="S22" s="3" t="n">
        <v>8</v>
      </c>
      <c r="T22" s="3" t="n">
        <v>8.4</v>
      </c>
      <c r="U22" s="3" t="n">
        <v>8</v>
      </c>
      <c r="V22" s="2" t="inlineStr">
        <is>
          <t>7岁+</t>
        </is>
      </c>
      <c r="W22" s="3" t="n">
        <v>85.40000000000001</v>
      </c>
      <c r="X22" s="2" t="inlineStr">
        <is>
          <t>由《欧洲国际版5A式景区报告_2026》转表；综合分按权重表公式重算</t>
        </is>
      </c>
      <c r="Y22" s="3" t="n">
        <v>9.5</v>
      </c>
    </row>
    <row r="23">
      <c r="A23" s="2" t="inlineStr">
        <is>
          <t>希腊</t>
        </is>
      </c>
      <c r="B23" s="2" t="inlineStr">
        <is>
          <t>雅典</t>
        </is>
      </c>
      <c r="C23" s="2" t="inlineStr">
        <is>
          <t>雅典卫城</t>
        </is>
      </c>
      <c r="D23" s="3" t="n">
        <v>9.4</v>
      </c>
      <c r="E23" s="3" t="n">
        <v>7.2</v>
      </c>
      <c r="F23" s="3" t="n">
        <v>6.5</v>
      </c>
      <c r="G23" s="3" t="n">
        <v>9.1</v>
      </c>
      <c r="H23" s="3" t="n">
        <v>8.699999999999999</v>
      </c>
      <c r="I23" s="2" t="inlineStr">
        <is>
          <t>0.5-1天</t>
        </is>
      </c>
      <c r="J23" s="3" t="n">
        <v>10</v>
      </c>
      <c r="K23" s="2" t="inlineStr">
        <is>
          <t>中</t>
        </is>
      </c>
      <c r="L23" s="3" t="n">
        <v>8.199999999999999</v>
      </c>
      <c r="M23" s="3" t="n">
        <v>9.199999999999999</v>
      </c>
      <c r="N23" s="2" t="inlineStr">
        <is>
          <t>春秋最佳</t>
        </is>
      </c>
      <c r="O23" s="3" t="n">
        <v>8.800000000000001</v>
      </c>
      <c r="P23" s="2" t="inlineStr">
        <is>
          <t>3-5月,9-11月</t>
        </is>
      </c>
      <c r="Q23" s="2" t="inlineStr">
        <is>
          <t>文化/独特</t>
        </is>
      </c>
      <c r="R23" s="3" t="n">
        <v>8</v>
      </c>
      <c r="S23" s="3" t="n">
        <v>8.5</v>
      </c>
      <c r="T23" s="3" t="n">
        <v>8</v>
      </c>
      <c r="U23" s="3" t="n">
        <v>7.6</v>
      </c>
      <c r="V23" s="2" t="inlineStr">
        <is>
          <t>8岁+</t>
        </is>
      </c>
      <c r="W23" s="3" t="n">
        <v>85.7</v>
      </c>
      <c r="X23" s="2" t="inlineStr">
        <is>
          <t>由《欧洲国际版5A式景区报告_2026》转表；综合分按权重表公式重算</t>
        </is>
      </c>
      <c r="Y23" s="3" t="n">
        <v>9.5</v>
      </c>
    </row>
    <row r="24">
      <c r="A24" s="2" t="inlineStr">
        <is>
          <t>比利时</t>
        </is>
      </c>
      <c r="B24" s="2" t="inlineStr">
        <is>
          <t>布鲁日</t>
        </is>
      </c>
      <c r="C24" s="2" t="inlineStr">
        <is>
          <t>布鲁日历史中心</t>
        </is>
      </c>
      <c r="D24" s="3" t="n">
        <v>8.800000000000001</v>
      </c>
      <c r="E24" s="3" t="n">
        <v>8</v>
      </c>
      <c r="F24" s="3" t="n">
        <v>7.9</v>
      </c>
      <c r="G24" s="3" t="n">
        <v>9</v>
      </c>
      <c r="H24" s="3" t="n">
        <v>8.699999999999999</v>
      </c>
      <c r="I24" s="2" t="inlineStr">
        <is>
          <t>1天</t>
        </is>
      </c>
      <c r="J24" s="3" t="n">
        <v>9.5</v>
      </c>
      <c r="K24" s="2" t="inlineStr">
        <is>
          <t>中</t>
        </is>
      </c>
      <c r="L24" s="3" t="n">
        <v>8.199999999999999</v>
      </c>
      <c r="M24" s="3" t="n">
        <v>8.800000000000001</v>
      </c>
      <c r="N24" s="2" t="inlineStr">
        <is>
          <t>春夏秋佳</t>
        </is>
      </c>
      <c r="O24" s="3" t="n">
        <v>8.6</v>
      </c>
      <c r="P24" s="2" t="inlineStr">
        <is>
          <t>4-10月</t>
        </is>
      </c>
      <c r="Q24" s="2" t="inlineStr">
        <is>
          <t>文化</t>
        </is>
      </c>
      <c r="R24" s="3" t="n">
        <v>8.199999999999999</v>
      </c>
      <c r="S24" s="3" t="n">
        <v>8.199999999999999</v>
      </c>
      <c r="T24" s="3" t="n">
        <v>8.6</v>
      </c>
      <c r="U24" s="3" t="n">
        <v>8</v>
      </c>
      <c r="V24" s="2" t="inlineStr">
        <is>
          <t>5岁+</t>
        </is>
      </c>
      <c r="W24" s="3" t="n">
        <v>85.8</v>
      </c>
      <c r="X24" s="2" t="inlineStr">
        <is>
          <t>由《欧洲国际版5A式景区报告_2026》转表；综合分按权重表公式重算</t>
        </is>
      </c>
      <c r="Y24" s="3" t="n">
        <v>9.199999999999999</v>
      </c>
    </row>
    <row r="25">
      <c r="A25" s="2" t="inlineStr">
        <is>
          <t>法国</t>
        </is>
      </c>
      <c r="B25" s="2" t="inlineStr">
        <is>
          <t>诺曼底</t>
        </is>
      </c>
      <c r="C25" s="2" t="inlineStr">
        <is>
          <t>圣米歇尔山</t>
        </is>
      </c>
      <c r="D25" s="3" t="n">
        <v>9.1</v>
      </c>
      <c r="E25" s="3" t="n">
        <v>7</v>
      </c>
      <c r="F25" s="3" t="n">
        <v>6.8</v>
      </c>
      <c r="G25" s="3" t="n">
        <v>9.4</v>
      </c>
      <c r="H25" s="3" t="n">
        <v>8.199999999999999</v>
      </c>
      <c r="I25" s="2" t="inlineStr">
        <is>
          <t>0.5-1天</t>
        </is>
      </c>
      <c r="J25" s="3" t="n">
        <v>10</v>
      </c>
      <c r="K25" s="2" t="inlineStr">
        <is>
          <t>中</t>
        </is>
      </c>
      <c r="L25" s="3" t="n">
        <v>8.199999999999999</v>
      </c>
      <c r="M25" s="3" t="n">
        <v>7.5</v>
      </c>
      <c r="N25" s="2" t="inlineStr">
        <is>
          <t>春夏秋佳</t>
        </is>
      </c>
      <c r="O25" s="3" t="n">
        <v>8.6</v>
      </c>
      <c r="P25" s="2" t="inlineStr">
        <is>
          <t>5-10月</t>
        </is>
      </c>
      <c r="Q25" s="2" t="inlineStr">
        <is>
          <t>文化/独特</t>
        </is>
      </c>
      <c r="R25" s="3" t="n">
        <v>7.8</v>
      </c>
      <c r="S25" s="3" t="n">
        <v>8.1</v>
      </c>
      <c r="T25" s="3" t="n">
        <v>8.4</v>
      </c>
      <c r="U25" s="3" t="n">
        <v>8</v>
      </c>
      <c r="V25" s="2" t="inlineStr">
        <is>
          <t>8岁+</t>
        </is>
      </c>
      <c r="W25" s="3" t="n">
        <v>83.5</v>
      </c>
      <c r="X25" s="2" t="inlineStr">
        <is>
          <t>由《欧洲国际版5A式景区报告_2026》转表；综合分按权重表公式重算</t>
        </is>
      </c>
      <c r="Y25" s="3" t="n">
        <v>9.5</v>
      </c>
    </row>
    <row r="26">
      <c r="A26" s="2" t="inlineStr">
        <is>
          <t>意大利</t>
        </is>
      </c>
      <c r="B26" s="2" t="inlineStr">
        <is>
          <t>威尼斯</t>
        </is>
      </c>
      <c r="C26" s="2" t="inlineStr">
        <is>
          <t>威尼斯历史城区</t>
        </is>
      </c>
      <c r="D26" s="3" t="n">
        <v>9.300000000000001</v>
      </c>
      <c r="E26" s="3" t="n">
        <v>7</v>
      </c>
      <c r="F26" s="3" t="n">
        <v>6</v>
      </c>
      <c r="G26" s="3" t="n">
        <v>9.5</v>
      </c>
      <c r="H26" s="3" t="n">
        <v>8.699999999999999</v>
      </c>
      <c r="I26" s="2" t="inlineStr">
        <is>
          <t>1-2天</t>
        </is>
      </c>
      <c r="J26" s="3" t="n">
        <v>9</v>
      </c>
      <c r="K26" s="2" t="inlineStr">
        <is>
          <t>中高</t>
        </is>
      </c>
      <c r="L26" s="3" t="n">
        <v>7.2</v>
      </c>
      <c r="M26" s="3" t="n">
        <v>8.5</v>
      </c>
      <c r="N26" s="2" t="inlineStr">
        <is>
          <t>春秋最佳</t>
        </is>
      </c>
      <c r="O26" s="3" t="n">
        <v>8.800000000000001</v>
      </c>
      <c r="P26" s="2" t="inlineStr">
        <is>
          <t>4-6月,9-10月</t>
        </is>
      </c>
      <c r="Q26" s="2" t="inlineStr">
        <is>
          <t>文化/独特</t>
        </is>
      </c>
      <c r="R26" s="3" t="n">
        <v>8.199999999999999</v>
      </c>
      <c r="S26" s="3" t="n">
        <v>7</v>
      </c>
      <c r="T26" s="3" t="n">
        <v>7.7</v>
      </c>
      <c r="U26" s="3" t="n">
        <v>7</v>
      </c>
      <c r="V26" s="2" t="inlineStr">
        <is>
          <t>10岁+</t>
        </is>
      </c>
      <c r="W26" s="3" t="n">
        <v>82.5</v>
      </c>
      <c r="X26" s="2" t="inlineStr">
        <is>
          <t>由《欧洲国际版5A式景区报告_2026》转表；综合分按权重表公式重算</t>
        </is>
      </c>
      <c r="Y26" s="3" t="n">
        <v>9.5</v>
      </c>
    </row>
    <row r="27">
      <c r="A27" s="2" t="inlineStr">
        <is>
          <t>西班牙</t>
        </is>
      </c>
      <c r="B27" s="2" t="inlineStr">
        <is>
          <t>塞维利亚</t>
        </is>
      </c>
      <c r="C27" s="2" t="inlineStr">
        <is>
          <t>塞维利亚王宫-老城</t>
        </is>
      </c>
      <c r="D27" s="3" t="n">
        <v>9</v>
      </c>
      <c r="E27" s="3" t="n">
        <v>7.5</v>
      </c>
      <c r="F27" s="3" t="n">
        <v>7</v>
      </c>
      <c r="G27" s="3" t="n">
        <v>9.1</v>
      </c>
      <c r="H27" s="3" t="n">
        <v>8.6</v>
      </c>
      <c r="I27" s="2" t="inlineStr">
        <is>
          <t>1天</t>
        </is>
      </c>
      <c r="J27" s="3" t="n">
        <v>9.5</v>
      </c>
      <c r="K27" s="2" t="inlineStr">
        <is>
          <t>中</t>
        </is>
      </c>
      <c r="L27" s="3" t="n">
        <v>8.199999999999999</v>
      </c>
      <c r="M27" s="3" t="n">
        <v>8.5</v>
      </c>
      <c r="N27" s="2" t="inlineStr">
        <is>
          <t>避开酷暑</t>
        </is>
      </c>
      <c r="O27" s="3" t="n">
        <v>8.300000000000001</v>
      </c>
      <c r="P27" s="2" t="inlineStr">
        <is>
          <t>3-5月,10-11月</t>
        </is>
      </c>
      <c r="Q27" s="2" t="inlineStr">
        <is>
          <t>文化</t>
        </is>
      </c>
      <c r="R27" s="3" t="n">
        <v>8.300000000000001</v>
      </c>
      <c r="S27" s="3" t="n">
        <v>8.5</v>
      </c>
      <c r="T27" s="3" t="n">
        <v>8.300000000000001</v>
      </c>
      <c r="U27" s="3" t="n">
        <v>7.7</v>
      </c>
      <c r="V27" s="2" t="inlineStr">
        <is>
          <t>6岁+</t>
        </is>
      </c>
      <c r="W27" s="3" t="n">
        <v>84.59999999999999</v>
      </c>
      <c r="X27" s="2" t="inlineStr">
        <is>
          <t>由《欧洲国际版5A式景区报告_2026》转表；综合分按权重表公式重算</t>
        </is>
      </c>
      <c r="Y27" s="3" t="n">
        <v>9.199999999999999</v>
      </c>
    </row>
    <row r="28">
      <c r="A28" s="2" t="inlineStr">
        <is>
          <t>德国</t>
        </is>
      </c>
      <c r="B28" s="2" t="inlineStr">
        <is>
          <t>科隆</t>
        </is>
      </c>
      <c r="C28" s="2" t="inlineStr">
        <is>
          <t>科隆大教堂</t>
        </is>
      </c>
      <c r="D28" s="3" t="n">
        <v>8.800000000000001</v>
      </c>
      <c r="E28" s="3" t="n">
        <v>7.2</v>
      </c>
      <c r="F28" s="3" t="n">
        <v>7.5</v>
      </c>
      <c r="G28" s="3" t="n">
        <v>8.800000000000001</v>
      </c>
      <c r="H28" s="3" t="n">
        <v>8.6</v>
      </c>
      <c r="I28" s="2" t="inlineStr">
        <is>
          <t>半天</t>
        </is>
      </c>
      <c r="J28" s="3" t="n">
        <v>8</v>
      </c>
      <c r="K28" s="2" t="inlineStr">
        <is>
          <t>中</t>
        </is>
      </c>
      <c r="L28" s="3" t="n">
        <v>8.199999999999999</v>
      </c>
      <c r="M28" s="3" t="n">
        <v>9.5</v>
      </c>
      <c r="N28" s="2" t="inlineStr">
        <is>
          <t>全年可游</t>
        </is>
      </c>
      <c r="O28" s="3" t="n">
        <v>9.199999999999999</v>
      </c>
      <c r="P28" s="2" t="inlineStr">
        <is>
          <t>4-10月,12月</t>
        </is>
      </c>
      <c r="Q28" s="2" t="inlineStr">
        <is>
          <t>文化</t>
        </is>
      </c>
      <c r="R28" s="3" t="n">
        <v>8.699999999999999</v>
      </c>
      <c r="S28" s="3" t="n">
        <v>8.800000000000001</v>
      </c>
      <c r="T28" s="3" t="n">
        <v>8.4</v>
      </c>
      <c r="U28" s="3" t="n">
        <v>8</v>
      </c>
      <c r="V28" s="2" t="inlineStr">
        <is>
          <t>6岁+</t>
        </is>
      </c>
      <c r="W28" s="3" t="n">
        <v>85.90000000000001</v>
      </c>
      <c r="X28" s="2" t="inlineStr">
        <is>
          <t>由《欧洲国际版5A式景区报告_2026》转表；综合分按权重表公式重算</t>
        </is>
      </c>
      <c r="Y28" s="3" t="n">
        <v>9.199999999999999</v>
      </c>
    </row>
    <row r="29">
      <c r="A29" s="2" t="inlineStr">
        <is>
          <t>冰岛</t>
        </is>
      </c>
      <c r="B29" s="2" t="inlineStr">
        <is>
          <t>雷克雅未克/南岸</t>
        </is>
      </c>
      <c r="C29" s="2" t="inlineStr">
        <is>
          <t>黄金圈+南岸瀑布黑沙滩</t>
        </is>
      </c>
      <c r="D29" s="3" t="n">
        <v>9.4</v>
      </c>
      <c r="E29" s="3" t="n">
        <v>8.1</v>
      </c>
      <c r="F29" s="3" t="n">
        <v>7</v>
      </c>
      <c r="G29" s="3" t="n">
        <v>9.300000000000001</v>
      </c>
      <c r="H29" s="3" t="n">
        <v>9.199999999999999</v>
      </c>
      <c r="I29" s="2" t="inlineStr">
        <is>
          <t>2-3天</t>
        </is>
      </c>
      <c r="J29" s="3" t="n">
        <v>7.5</v>
      </c>
      <c r="K29" s="2" t="inlineStr">
        <is>
          <t>高</t>
        </is>
      </c>
      <c r="L29" s="3" t="n">
        <v>6.2</v>
      </c>
      <c r="M29" s="3" t="n">
        <v>6.5</v>
      </c>
      <c r="N29" s="2" t="inlineStr">
        <is>
          <t>夏季/极光季</t>
        </is>
      </c>
      <c r="O29" s="3" t="n">
        <v>8.300000000000001</v>
      </c>
      <c r="P29" s="2" t="inlineStr">
        <is>
          <t>6-8月,10-3月</t>
        </is>
      </c>
      <c r="Q29" s="2" t="inlineStr">
        <is>
          <t>生态/独特</t>
        </is>
      </c>
      <c r="R29" s="3" t="n">
        <v>8</v>
      </c>
      <c r="S29" s="3" t="n">
        <v>6.3</v>
      </c>
      <c r="T29" s="3" t="n">
        <v>8.9</v>
      </c>
      <c r="U29" s="3" t="n">
        <v>7.8</v>
      </c>
      <c r="V29" s="2" t="inlineStr">
        <is>
          <t>8岁+</t>
        </is>
      </c>
      <c r="W29" s="3" t="n">
        <v>80.90000000000001</v>
      </c>
      <c r="X29" s="2" t="inlineStr">
        <is>
          <t>由《欧洲国际版5A式景区报告_2026》转表；综合分按权重表公式重算</t>
        </is>
      </c>
      <c r="Y29" s="3" t="n">
        <v>9</v>
      </c>
    </row>
    <row r="30">
      <c r="A30" s="2" t="inlineStr">
        <is>
          <t>克罗地亚</t>
        </is>
      </c>
      <c r="B30" s="2" t="inlineStr">
        <is>
          <t>杜布罗夫尼克</t>
        </is>
      </c>
      <c r="C30" s="2" t="inlineStr">
        <is>
          <t>杜城古城墙</t>
        </is>
      </c>
      <c r="D30" s="3" t="n">
        <v>9.1</v>
      </c>
      <c r="E30" s="3" t="n">
        <v>7</v>
      </c>
      <c r="F30" s="3" t="n">
        <v>6.5</v>
      </c>
      <c r="G30" s="3" t="n">
        <v>9.4</v>
      </c>
      <c r="H30" s="3" t="n">
        <v>8.6</v>
      </c>
      <c r="I30" s="2" t="inlineStr">
        <is>
          <t>1天</t>
        </is>
      </c>
      <c r="J30" s="3" t="n">
        <v>9.5</v>
      </c>
      <c r="K30" s="2" t="inlineStr">
        <is>
          <t>中高</t>
        </is>
      </c>
      <c r="L30" s="3" t="n">
        <v>7.2</v>
      </c>
      <c r="M30" s="3" t="n">
        <v>7</v>
      </c>
      <c r="N30" s="2" t="inlineStr">
        <is>
          <t>春夏秋佳</t>
        </is>
      </c>
      <c r="O30" s="3" t="n">
        <v>8.6</v>
      </c>
      <c r="P30" s="2" t="inlineStr">
        <is>
          <t>5-10月</t>
        </is>
      </c>
      <c r="Q30" s="2" t="inlineStr">
        <is>
          <t>文化/海景</t>
        </is>
      </c>
      <c r="R30" s="3" t="n">
        <v>7.8</v>
      </c>
      <c r="S30" s="3" t="n">
        <v>7</v>
      </c>
      <c r="T30" s="3" t="n">
        <v>8.1</v>
      </c>
      <c r="U30" s="3" t="n">
        <v>7.5</v>
      </c>
      <c r="V30" s="2" t="inlineStr">
        <is>
          <t>8岁+</t>
        </is>
      </c>
      <c r="W30" s="3" t="n">
        <v>80.5</v>
      </c>
      <c r="X30" s="2" t="inlineStr">
        <is>
          <t>由《欧洲国际版5A式景区报告_2026》转表；综合分按权重表公式重算</t>
        </is>
      </c>
      <c r="Y30" s="3" t="n">
        <v>9</v>
      </c>
    </row>
    <row r="31">
      <c r="A31" s="2" t="inlineStr">
        <is>
          <t>希腊</t>
        </is>
      </c>
      <c r="B31" s="2" t="inlineStr">
        <is>
          <t>圣托里尼</t>
        </is>
      </c>
      <c r="C31" s="2" t="inlineStr">
        <is>
          <t>伊亚-火山海景线</t>
        </is>
      </c>
      <c r="D31" s="3" t="n">
        <v>9.1</v>
      </c>
      <c r="E31" s="3" t="n">
        <v>6.5</v>
      </c>
      <c r="F31" s="3" t="n">
        <v>5.8</v>
      </c>
      <c r="G31" s="3" t="n">
        <v>9.699999999999999</v>
      </c>
      <c r="H31" s="3" t="n">
        <v>8.800000000000001</v>
      </c>
      <c r="I31" s="2" t="inlineStr">
        <is>
          <t>1-2天</t>
        </is>
      </c>
      <c r="J31" s="3" t="n">
        <v>9</v>
      </c>
      <c r="K31" s="2" t="inlineStr">
        <is>
          <t>中高</t>
        </is>
      </c>
      <c r="L31" s="3" t="n">
        <v>7.2</v>
      </c>
      <c r="M31" s="3" t="n">
        <v>7.2</v>
      </c>
      <c r="N31" s="2" t="inlineStr">
        <is>
          <t>春夏秋佳</t>
        </is>
      </c>
      <c r="O31" s="3" t="n">
        <v>8.6</v>
      </c>
      <c r="P31" s="2" t="inlineStr">
        <is>
          <t>5-10月</t>
        </is>
      </c>
      <c r="Q31" s="2" t="inlineStr">
        <is>
          <t>风景/独特</t>
        </is>
      </c>
      <c r="R31" s="3" t="n">
        <v>7.8</v>
      </c>
      <c r="S31" s="3" t="n">
        <v>6.8</v>
      </c>
      <c r="T31" s="3" t="n">
        <v>7.8</v>
      </c>
      <c r="U31" s="3" t="n">
        <v>7</v>
      </c>
      <c r="V31" s="2" t="inlineStr">
        <is>
          <t>10岁+</t>
        </is>
      </c>
      <c r="W31" s="3" t="n">
        <v>79.5</v>
      </c>
      <c r="X31" s="2" t="inlineStr">
        <is>
          <t>由《欧洲国际版5A式景区报告_2026》转表；综合分按权重表公式重算</t>
        </is>
      </c>
      <c r="Y31" s="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40" customWidth="1" min="3" max="3"/>
    <col width="14" customWidth="1" min="4" max="4"/>
    <col width="2" customWidth="1" min="5" max="5"/>
    <col width="36" customWidth="1" min="6" max="6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解释</t>
        </is>
      </c>
      <c r="D1" s="1" t="inlineStr">
        <is>
          <t>说明</t>
        </is>
      </c>
      <c r="E1" s="1" t="n"/>
      <c r="F1" s="1" t="inlineStr">
        <is>
          <t>权重数值</t>
        </is>
      </c>
    </row>
    <row r="2">
      <c r="A2" s="2" t="inlineStr">
        <is>
          <t>游客口碑</t>
        </is>
      </c>
      <c r="B2" s="2" t="inlineStr">
        <is>
          <t>14%</t>
        </is>
      </c>
      <c r="C2" s="2" t="inlineStr">
        <is>
          <t>标准化评分</t>
        </is>
      </c>
      <c r="D2" s="2" t="inlineStr">
        <is>
          <t>10分制折算</t>
        </is>
      </c>
      <c r="E2" s="2" t="n"/>
      <c r="F2" s="2">
        <f>VALUE(SUBSTITUTE(B2,"%",""))/100</f>
        <v/>
      </c>
    </row>
    <row r="3">
      <c r="A3" s="2" t="inlineStr">
        <is>
          <t>亲子友好度</t>
        </is>
      </c>
      <c r="B3" s="2" t="inlineStr">
        <is>
          <t>8%</t>
        </is>
      </c>
      <c r="C3" s="2" t="inlineStr">
        <is>
          <t>标准化评分</t>
        </is>
      </c>
      <c r="D3" s="2" t="inlineStr">
        <is>
          <t>10分制折算</t>
        </is>
      </c>
      <c r="E3" s="2" t="n"/>
      <c r="F3" s="2">
        <f>VALUE(SUBSTITUTE(B3,"%",""))/100</f>
        <v/>
      </c>
    </row>
    <row r="4">
      <c r="A4" s="2" t="inlineStr">
        <is>
          <t>老人友好度</t>
        </is>
      </c>
      <c r="B4" s="2" t="inlineStr">
        <is>
          <t>7%</t>
        </is>
      </c>
      <c r="C4" s="2" t="inlineStr">
        <is>
          <t>标准化评分</t>
        </is>
      </c>
      <c r="D4" s="2" t="inlineStr">
        <is>
          <t>10分制折算</t>
        </is>
      </c>
      <c r="E4" s="2" t="n"/>
      <c r="F4" s="2">
        <f>VALUE(SUBSTITUTE(B4,"%",""))/100</f>
        <v/>
      </c>
    </row>
    <row r="5">
      <c r="A5" s="2" t="inlineStr">
        <is>
          <t>夫妻友好度</t>
        </is>
      </c>
      <c r="B5" s="2" t="inlineStr">
        <is>
          <t>7%</t>
        </is>
      </c>
      <c r="C5" s="2" t="inlineStr">
        <is>
          <t>标准化评分</t>
        </is>
      </c>
      <c r="D5" s="2" t="inlineStr">
        <is>
          <t>10分制折算</t>
        </is>
      </c>
      <c r="E5" s="2" t="n"/>
      <c r="F5" s="2">
        <f>VALUE(SUBSTITUTE(B5,"%",""))/100</f>
        <v/>
      </c>
    </row>
    <row r="6">
      <c r="A6" s="2" t="inlineStr">
        <is>
          <t>一人游友好度</t>
        </is>
      </c>
      <c r="B6" s="2" t="inlineStr">
        <is>
          <t>5%</t>
        </is>
      </c>
      <c r="C6" s="2" t="inlineStr">
        <is>
          <t>标准化评分</t>
        </is>
      </c>
      <c r="D6" s="2" t="inlineStr">
        <is>
          <t>10分制折算</t>
        </is>
      </c>
      <c r="E6" s="2" t="n"/>
      <c r="F6" s="2">
        <f>VALUE(SUBSTITUTE(B6,"%",""))/100</f>
        <v/>
      </c>
    </row>
    <row r="7">
      <c r="A7" s="2" t="inlineStr">
        <is>
          <t>游览时长匹配</t>
        </is>
      </c>
      <c r="B7" s="2" t="inlineStr">
        <is>
          <t>3%</t>
        </is>
      </c>
      <c r="C7" s="2" t="inlineStr">
        <is>
          <t>越适合1-2天完成高质量体验，得分越高</t>
        </is>
      </c>
      <c r="D7" s="2" t="inlineStr">
        <is>
          <t>超长重度线路不一定占优</t>
        </is>
      </c>
      <c r="E7" s="2" t="n"/>
      <c r="F7" s="2">
        <f>VALUE(SUBSTITUTE(B7,"%",""))/100</f>
        <v/>
      </c>
    </row>
    <row r="8">
      <c r="A8" s="2" t="inlineStr">
        <is>
          <t>平均酒景预算</t>
        </is>
      </c>
      <c r="B8" s="2" t="inlineStr">
        <is>
          <t>5%</t>
        </is>
      </c>
      <c r="C8" s="2" t="inlineStr">
        <is>
          <t>按“1晚住宿+首道门票+市内/景区接驳”的常见旅行日成本做档位化估算</t>
        </is>
      </c>
      <c r="D8" s="2" t="inlineStr">
        <is>
          <t>预算越友好，得分越高</t>
        </is>
      </c>
      <c r="E8" s="2" t="n"/>
      <c r="F8" s="2">
        <f>VALUE(SUBSTITUTE(B8,"%",""))/100</f>
        <v/>
      </c>
    </row>
    <row r="9">
      <c r="A9" s="2" t="inlineStr">
        <is>
          <t>城市交通可达性</t>
        </is>
      </c>
      <c r="B9" s="2" t="inlineStr">
        <is>
          <t>10%</t>
        </is>
      </c>
      <c r="C9" s="2" t="inlineStr">
        <is>
          <t>标准化评分</t>
        </is>
      </c>
      <c r="D9" s="2" t="inlineStr">
        <is>
          <t>10分制折算</t>
        </is>
      </c>
      <c r="E9" s="2" t="n"/>
      <c r="F9" s="2">
        <f>VALUE(SUBSTITUTE(B9,"%",""))/100</f>
        <v/>
      </c>
    </row>
    <row r="10">
      <c r="A10" s="2" t="inlineStr">
        <is>
          <t>季节适宜性</t>
        </is>
      </c>
      <c r="B10" s="2" t="inlineStr">
        <is>
          <t>5%</t>
        </is>
      </c>
      <c r="C10" s="2" t="inlineStr">
        <is>
          <t>标准化评分</t>
        </is>
      </c>
      <c r="D10" s="2" t="inlineStr">
        <is>
          <t>10分制折算</t>
        </is>
      </c>
      <c r="E10" s="2" t="n"/>
      <c r="F10" s="2">
        <f>VALUE(SUBSTITUTE(B10,"%",""))/100</f>
        <v/>
      </c>
    </row>
    <row r="11">
      <c r="A11" s="2" t="inlineStr">
        <is>
          <t>文化/生态/独特价值</t>
        </is>
      </c>
      <c r="B11" s="2" t="inlineStr">
        <is>
          <t>12%</t>
        </is>
      </c>
      <c r="C11" s="2" t="inlineStr">
        <is>
          <t>标准化评分</t>
        </is>
      </c>
      <c r="D11" s="2" t="inlineStr">
        <is>
          <t>10分制折算</t>
        </is>
      </c>
      <c r="E11" s="2" t="n"/>
      <c r="F11" s="2">
        <f>VALUE(SUBSTITUTE(B11,"%",""))/100</f>
        <v/>
      </c>
    </row>
    <row r="12">
      <c r="A12" s="2" t="inlineStr">
        <is>
          <t>基础设施与配套</t>
        </is>
      </c>
      <c r="B12" s="2" t="inlineStr">
        <is>
          <t>7%</t>
        </is>
      </c>
      <c r="C12" s="2" t="inlineStr">
        <is>
          <t>标准化评分</t>
        </is>
      </c>
      <c r="D12" s="2" t="inlineStr">
        <is>
          <t>10分制折算</t>
        </is>
      </c>
      <c r="E12" s="2" t="n"/>
      <c r="F12" s="2">
        <f>VALUE(SUBSTITUTE(B12,"%",""))/100</f>
        <v/>
      </c>
    </row>
    <row r="13">
      <c r="A13" s="2" t="inlineStr">
        <is>
          <t>性价比</t>
        </is>
      </c>
      <c r="B13" s="2" t="inlineStr">
        <is>
          <t>7%</t>
        </is>
      </c>
      <c r="C13" s="2" t="inlineStr">
        <is>
          <t>标准化评分</t>
        </is>
      </c>
      <c r="D13" s="2" t="inlineStr">
        <is>
          <t>10分制折算</t>
        </is>
      </c>
      <c r="E13" s="2" t="n"/>
      <c r="F13" s="2">
        <f>VALUE(SUBSTITUTE(B13,"%",""))/100</f>
        <v/>
      </c>
    </row>
    <row r="14">
      <c r="A14" s="2" t="inlineStr">
        <is>
          <t>旅游安全度</t>
        </is>
      </c>
      <c r="B14" s="2" t="inlineStr">
        <is>
          <t>6%</t>
        </is>
      </c>
      <c r="C14" s="2" t="inlineStr">
        <is>
          <t>结合公开旅行风险、夜间出行感受、诈骗扰动、中文支持与亚洲面孔友好度做模型评分</t>
        </is>
      </c>
      <c r="D14" s="2" t="inlineStr">
        <is>
          <t>用于筛选，不替代实时预警</t>
        </is>
      </c>
      <c r="E14" s="2" t="n"/>
      <c r="F14" s="2">
        <f>VALUE(SUBSTITUTE(B14,"%",""))/100</f>
        <v/>
      </c>
    </row>
    <row r="15">
      <c r="A15" s="2" t="inlineStr">
        <is>
          <t>华人安全度</t>
        </is>
      </c>
      <c r="B15" s="2" t="inlineStr">
        <is>
          <t>4%</t>
        </is>
      </c>
      <c r="C15" s="2" t="inlineStr">
        <is>
          <t>结合公开旅行风险、夜间出行感受、诈骗扰动、中文支持与亚洲面孔友好度做模型评分</t>
        </is>
      </c>
      <c r="D15" s="2" t="inlineStr">
        <is>
          <t>用于筛选，不替代实时预警</t>
        </is>
      </c>
      <c r="E15" s="2" t="n"/>
      <c r="F15" s="2">
        <f>VALUE(SUBSTITUTE(B15,"%",""))/100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文化/生态/独特价值文本</t>
        </is>
      </c>
      <c r="B1" s="1" t="inlineStr">
        <is>
          <t>价值评分</t>
        </is>
      </c>
    </row>
    <row r="2">
      <c r="A2" s="2" t="inlineStr">
        <is>
          <t>文化/独特</t>
        </is>
      </c>
      <c r="B2" s="2" t="n">
        <v>9.5</v>
      </c>
    </row>
    <row r="3">
      <c r="A3" s="2" t="inlineStr">
        <is>
          <t>文化</t>
        </is>
      </c>
      <c r="B3" s="2" t="n">
        <v>9.199999999999999</v>
      </c>
    </row>
    <row r="4">
      <c r="A4" s="2" t="inlineStr">
        <is>
          <t>文化/城市</t>
        </is>
      </c>
      <c r="B4" s="2" t="n">
        <v>9</v>
      </c>
    </row>
    <row r="5">
      <c r="A5" s="2" t="inlineStr">
        <is>
          <t>自然/独特</t>
        </is>
      </c>
      <c r="B5" s="2" t="n">
        <v>9.4</v>
      </c>
    </row>
    <row r="6">
      <c r="A6" s="2" t="inlineStr">
        <is>
          <t>自然</t>
        </is>
      </c>
      <c r="B6" s="2" t="n">
        <v>9</v>
      </c>
    </row>
    <row r="7">
      <c r="A7" s="2" t="inlineStr">
        <is>
          <t>自然/生态</t>
        </is>
      </c>
      <c r="B7" s="2" t="n">
        <v>9.1</v>
      </c>
    </row>
    <row r="8">
      <c r="A8" s="2" t="inlineStr">
        <is>
          <t>文化/自然</t>
        </is>
      </c>
      <c r="B8" s="2" t="n">
        <v>9.300000000000001</v>
      </c>
    </row>
    <row r="9">
      <c r="A9" s="2" t="inlineStr">
        <is>
          <t>城市/综合</t>
        </is>
      </c>
      <c r="B9" s="2" t="n">
        <v>8.800000000000001</v>
      </c>
    </row>
    <row r="10">
      <c r="A10" s="2" t="inlineStr">
        <is>
          <t>综合</t>
        </is>
      </c>
      <c r="B10" s="2" t="n">
        <v>8.699999999999999</v>
      </c>
    </row>
    <row r="11">
      <c r="A11" s="2" t="inlineStr">
        <is>
          <t>默认</t>
        </is>
      </c>
      <c r="B11" s="2" t="n">
        <v>9</v>
      </c>
    </row>
    <row r="12">
      <c r="A12" s="2" t="n"/>
      <c r="B12" s="2" t="n"/>
    </row>
    <row r="13">
      <c r="A13" s="2" t="inlineStr">
        <is>
          <t>游览时长文本</t>
        </is>
      </c>
      <c r="B13" s="2" t="inlineStr">
        <is>
          <t>评分</t>
        </is>
      </c>
    </row>
    <row r="14">
      <c r="A14" s="2" t="inlineStr">
        <is>
          <t>0.5-1天</t>
        </is>
      </c>
      <c r="B14" s="2" t="n">
        <v>10</v>
      </c>
    </row>
    <row r="15">
      <c r="A15" s="2" t="inlineStr">
        <is>
          <t>1天</t>
        </is>
      </c>
      <c r="B15" s="2" t="n">
        <v>9.5</v>
      </c>
    </row>
    <row r="16">
      <c r="A16" s="2" t="inlineStr">
        <is>
          <t>1-2天</t>
        </is>
      </c>
      <c r="B16" s="2" t="n">
        <v>9</v>
      </c>
    </row>
    <row r="17">
      <c r="A17" s="2" t="inlineStr">
        <is>
          <t>1.5-2天</t>
        </is>
      </c>
      <c r="B17" s="2" t="n">
        <v>8.800000000000001</v>
      </c>
    </row>
    <row r="18">
      <c r="A18" s="2" t="inlineStr">
        <is>
          <t>2天</t>
        </is>
      </c>
      <c r="B18" s="2" t="n">
        <v>8.199999999999999</v>
      </c>
    </row>
    <row r="19">
      <c r="A19" s="2" t="inlineStr">
        <is>
          <t>2-3天</t>
        </is>
      </c>
      <c r="B19" s="2" t="n">
        <v>7.5</v>
      </c>
    </row>
    <row r="20">
      <c r="A20" s="2" t="inlineStr">
        <is>
          <t>3天+</t>
        </is>
      </c>
      <c r="B20" s="2" t="n">
        <v>6.5</v>
      </c>
    </row>
    <row r="21">
      <c r="A21" s="2" t="inlineStr">
        <is>
          <t>3天</t>
        </is>
      </c>
      <c r="B21" s="2" t="n">
        <v>6.8</v>
      </c>
    </row>
    <row r="22">
      <c r="A22" s="2" t="n"/>
      <c r="B22" s="2" t="n"/>
    </row>
    <row r="23">
      <c r="A23" s="2" t="inlineStr">
        <is>
          <t>预算文本</t>
        </is>
      </c>
      <c r="B23" s="2" t="inlineStr">
        <is>
          <t>评分</t>
        </is>
      </c>
    </row>
    <row r="24">
      <c r="A24" s="2" t="inlineStr">
        <is>
          <t>低</t>
        </is>
      </c>
      <c r="B24" s="2" t="n">
        <v>9.199999999999999</v>
      </c>
    </row>
    <row r="25">
      <c r="A25" s="2" t="inlineStr">
        <is>
          <t>中低</t>
        </is>
      </c>
      <c r="B25" s="2" t="n">
        <v>8.699999999999999</v>
      </c>
    </row>
    <row r="26">
      <c r="A26" s="2" t="inlineStr">
        <is>
          <t>中</t>
        </is>
      </c>
      <c r="B26" s="2" t="n">
        <v>8.199999999999999</v>
      </c>
    </row>
    <row r="27">
      <c r="A27" s="2" t="inlineStr">
        <is>
          <t>中高</t>
        </is>
      </c>
      <c r="B27" s="2" t="n">
        <v>7.2</v>
      </c>
    </row>
    <row r="28">
      <c r="A28" s="2" t="inlineStr">
        <is>
          <t>高</t>
        </is>
      </c>
      <c r="B28" s="2" t="n">
        <v>6.2</v>
      </c>
    </row>
    <row r="29">
      <c r="A29" s="2" t="n"/>
      <c r="B29" s="2" t="n"/>
    </row>
    <row r="30">
      <c r="A30" s="2" t="inlineStr">
        <is>
          <t>季节文本关键词</t>
        </is>
      </c>
      <c r="B30" s="2" t="inlineStr">
        <is>
          <t>评分</t>
        </is>
      </c>
    </row>
    <row r="31">
      <c r="A31" s="2" t="inlineStr">
        <is>
          <t>全年可游</t>
        </is>
      </c>
      <c r="B31" s="2" t="n">
        <v>9.199999999999999</v>
      </c>
    </row>
    <row r="32">
      <c r="A32" s="2" t="inlineStr">
        <is>
          <t>全年可游，冬季体验略弱</t>
        </is>
      </c>
      <c r="B32" s="2" t="n">
        <v>8.699999999999999</v>
      </c>
    </row>
    <row r="33">
      <c r="A33" s="2" t="inlineStr">
        <is>
          <t>春秋最佳</t>
        </is>
      </c>
      <c r="B33" s="2" t="n">
        <v>8.800000000000001</v>
      </c>
    </row>
    <row r="34">
      <c r="A34" s="2" t="inlineStr">
        <is>
          <t>春夏秋佳</t>
        </is>
      </c>
      <c r="B34" s="2" t="n">
        <v>8.6</v>
      </c>
    </row>
    <row r="35">
      <c r="A35" s="2" t="inlineStr">
        <is>
          <t>夏季最佳</t>
        </is>
      </c>
      <c r="B35" s="2" t="n">
        <v>8.1</v>
      </c>
    </row>
    <row r="36">
      <c r="A36" s="2" t="inlineStr">
        <is>
          <t>冬季最佳</t>
        </is>
      </c>
      <c r="B36" s="2" t="n">
        <v>8</v>
      </c>
    </row>
    <row r="37">
      <c r="A37" s="2" t="inlineStr">
        <is>
          <t>夏秋最佳</t>
        </is>
      </c>
      <c r="B37" s="2" t="n">
        <v>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15" customWidth="1" min="4" max="4"/>
    <col width="5" customWidth="1" min="5" max="5"/>
    <col width="10" customWidth="1" min="6" max="6"/>
  </cols>
  <sheetData>
    <row r="1">
      <c r="A1" s="1" t="inlineStr">
        <is>
          <t>排名</t>
        </is>
      </c>
      <c r="B1" s="1" t="inlineStr">
        <is>
          <t>国家</t>
        </is>
      </c>
      <c r="C1" s="1" t="inlineStr">
        <is>
          <t>城市</t>
        </is>
      </c>
      <c r="D1" s="1" t="inlineStr">
        <is>
          <t>景区</t>
        </is>
      </c>
      <c r="E1" s="1" t="inlineStr">
        <is>
          <t>综合分</t>
        </is>
      </c>
      <c r="F1" s="1" t="inlineStr">
        <is>
          <t>一句话判断</t>
        </is>
      </c>
    </row>
    <row r="2">
      <c r="A2" s="2" t="inlineStr">
        <is>
          <t>1</t>
        </is>
      </c>
      <c r="B2" s="2" t="inlineStr">
        <is>
          <t>法国</t>
        </is>
      </c>
      <c r="C2" s="2" t="inlineStr">
        <is>
          <t>巴黎</t>
        </is>
      </c>
      <c r="D2" s="2" t="inlineStr">
        <is>
          <t>卢浮宫+塞纳河历史轴线</t>
        </is>
      </c>
      <c r="E2" s="2" t="inlineStr">
        <is>
          <t>89</t>
        </is>
      </c>
      <c r="F2" s="2" t="inlineStr">
        <is>
          <t>文化强、可达性强</t>
        </is>
      </c>
    </row>
    <row r="3">
      <c r="A3" s="2" t="inlineStr">
        <is>
          <t>2</t>
        </is>
      </c>
      <c r="B3" s="2" t="inlineStr">
        <is>
          <t>英国</t>
        </is>
      </c>
      <c r="C3" s="2" t="inlineStr">
        <is>
          <t>伦敦</t>
        </is>
      </c>
      <c r="D3" s="2" t="inlineStr">
        <is>
          <t>大英博物馆+威斯敏斯特片区</t>
        </is>
      </c>
      <c r="E3" s="2" t="inlineStr">
        <is>
          <t>89</t>
        </is>
      </c>
      <c r="F3" s="2" t="inlineStr">
        <is>
          <t>文化强、可达性强</t>
        </is>
      </c>
    </row>
    <row r="4">
      <c r="A4" s="2" t="inlineStr">
        <is>
          <t>3</t>
        </is>
      </c>
      <c r="B4" s="2" t="inlineStr">
        <is>
          <t>西班牙</t>
        </is>
      </c>
      <c r="C4" s="2" t="inlineStr">
        <is>
          <t>巴塞罗那</t>
        </is>
      </c>
      <c r="D4" s="2" t="inlineStr">
        <is>
          <t>圣家堂+高迪建筑群</t>
        </is>
      </c>
      <c r="E4" s="2" t="inlineStr">
        <is>
          <t>88</t>
        </is>
      </c>
      <c r="F4" s="2" t="inlineStr">
        <is>
          <t>均衡型强目的地</t>
        </is>
      </c>
    </row>
    <row r="5">
      <c r="A5" s="2" t="inlineStr">
        <is>
          <t>4</t>
        </is>
      </c>
      <c r="B5" s="2" t="inlineStr">
        <is>
          <t>瑞士</t>
        </is>
      </c>
      <c r="C5" s="2" t="inlineStr">
        <is>
          <t>琉森/因特拉肯</t>
        </is>
      </c>
      <c r="D5" s="2" t="inlineStr">
        <is>
          <t>少女峰地区</t>
        </is>
      </c>
      <c r="E5" s="2" t="inlineStr">
        <is>
          <t>88</t>
        </is>
      </c>
      <c r="F5" s="2" t="inlineStr">
        <is>
          <t>自然稀缺性突出</t>
        </is>
      </c>
    </row>
    <row r="6">
      <c r="A6" s="2" t="inlineStr">
        <is>
          <t>5</t>
        </is>
      </c>
      <c r="B6" s="2" t="inlineStr">
        <is>
          <t>奥地利</t>
        </is>
      </c>
      <c r="C6" s="2" t="inlineStr">
        <is>
          <t>维也纳</t>
        </is>
      </c>
      <c r="D6" s="2" t="inlineStr">
        <is>
          <t>美泉宫+维也纳历史中心</t>
        </is>
      </c>
      <c r="E6" s="2" t="inlineStr">
        <is>
          <t>88</t>
        </is>
      </c>
      <c r="F6" s="2" t="inlineStr">
        <is>
          <t>均衡型强目的地</t>
        </is>
      </c>
    </row>
    <row r="7">
      <c r="A7" s="2" t="inlineStr">
        <is>
          <t>6</t>
        </is>
      </c>
      <c r="B7" s="2" t="inlineStr">
        <is>
          <t>芬兰</t>
        </is>
      </c>
      <c r="C7" s="2" t="inlineStr">
        <is>
          <t>赫尔辛基/罗瓦涅米</t>
        </is>
      </c>
      <c r="D7" s="2" t="inlineStr">
        <is>
          <t>圣诞老人村+拉普兰体验</t>
        </is>
      </c>
      <c r="E7" s="2" t="inlineStr">
        <is>
          <t>88</t>
        </is>
      </c>
      <c r="F7" s="2" t="inlineStr">
        <is>
          <t>亲子向极强</t>
        </is>
      </c>
    </row>
    <row r="8">
      <c r="A8" s="2" t="inlineStr">
        <is>
          <t>7</t>
        </is>
      </c>
      <c r="B8" s="2" t="inlineStr">
        <is>
          <t>葡萄牙</t>
        </is>
      </c>
      <c r="C8" s="2" t="inlineStr">
        <is>
          <t>辛特拉</t>
        </is>
      </c>
      <c r="D8" s="2" t="inlineStr">
        <is>
          <t>辛特拉文化景观</t>
        </is>
      </c>
      <c r="E8" s="2" t="inlineStr">
        <is>
          <t>87</t>
        </is>
      </c>
      <c r="F8" s="2" t="inlineStr">
        <is>
          <t>均衡型强目的地</t>
        </is>
      </c>
    </row>
    <row r="9">
      <c r="A9" s="2" t="inlineStr">
        <is>
          <t>8</t>
        </is>
      </c>
      <c r="B9" s="2" t="inlineStr">
        <is>
          <t>荷兰</t>
        </is>
      </c>
      <c r="C9" s="2" t="inlineStr">
        <is>
          <t>阿姆斯特丹</t>
        </is>
      </c>
      <c r="D9" s="2" t="inlineStr">
        <is>
          <t>运河环带+博物馆区</t>
        </is>
      </c>
      <c r="E9" s="2" t="inlineStr">
        <is>
          <t>87</t>
        </is>
      </c>
      <c r="F9" s="2" t="inlineStr">
        <is>
          <t>均衡型强目的地</t>
        </is>
      </c>
    </row>
    <row r="10">
      <c r="A10" s="2" t="inlineStr">
        <is>
          <t>9</t>
        </is>
      </c>
      <c r="B10" s="2" t="inlineStr">
        <is>
          <t>捷克</t>
        </is>
      </c>
      <c r="C10" s="2" t="inlineStr">
        <is>
          <t>布拉格</t>
        </is>
      </c>
      <c r="D10" s="2" t="inlineStr">
        <is>
          <t>布拉格历史中心</t>
        </is>
      </c>
      <c r="E10" s="2" t="inlineStr">
        <is>
          <t>87</t>
        </is>
      </c>
      <c r="F10" s="2" t="inlineStr">
        <is>
          <t>均衡型强目的地</t>
        </is>
      </c>
    </row>
    <row r="11">
      <c r="A11" s="2" t="inlineStr">
        <is>
          <t>10</t>
        </is>
      </c>
      <c r="B11" s="2" t="inlineStr">
        <is>
          <t>挪威</t>
        </is>
      </c>
      <c r="C11" s="2" t="inlineStr">
        <is>
          <t>卑尔根/弗洛姆</t>
        </is>
      </c>
      <c r="D11" s="2" t="inlineStr">
        <is>
          <t>挪威峡湾</t>
        </is>
      </c>
      <c r="E11" s="2" t="inlineStr">
        <is>
          <t>87</t>
        </is>
      </c>
      <c r="F11" s="2" t="inlineStr">
        <is>
          <t>自然稀缺性突出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</cols>
  <sheetData>
    <row r="1">
      <c r="A1" s="1" t="inlineStr">
        <is>
          <t>场景</t>
        </is>
      </c>
      <c r="B1" s="1" t="inlineStr">
        <is>
          <t>建议目的地</t>
        </is>
      </c>
    </row>
    <row r="2">
      <c r="A2" s="2" t="inlineStr">
        <is>
          <t>亲子优先</t>
        </is>
      </c>
      <c r="B2" s="2" t="inlineStr">
        <is>
          <t>芬兰拉普兰、伦敦博物馆片区、巴塞罗那高迪线、维也纳美泉宫、少女峰地区</t>
        </is>
      </c>
    </row>
    <row r="3">
      <c r="A3" s="2" t="inlineStr">
        <is>
          <t>老人同游优先</t>
        </is>
      </c>
      <c r="B3" s="2" t="inlineStr">
        <is>
          <t>维也纳、伦敦、萨尔茨堡、阿姆斯特丹、波尔图</t>
        </is>
      </c>
    </row>
    <row r="4">
      <c r="A4" s="2" t="inlineStr">
        <is>
          <t>夫妻旅行优先</t>
        </is>
      </c>
      <c r="B4" s="2" t="inlineStr">
        <is>
          <t>巴黎、威尼斯、圣托里尼、杜布罗夫尼克、布鲁日</t>
        </is>
      </c>
    </row>
    <row r="5">
      <c r="A5" s="2" t="inlineStr">
        <is>
          <t>一人游优先</t>
        </is>
      </c>
      <c r="B5" s="2" t="inlineStr">
        <is>
          <t>伦敦、柏林、阿姆斯特丹、布拉格、冰岛南岸</t>
        </is>
      </c>
    </row>
    <row r="6">
      <c r="A6" s="2" t="inlineStr">
        <is>
          <t>高性价比优先</t>
        </is>
      </c>
      <c r="B6" s="2" t="inlineStr">
        <is>
          <t>布达佩斯、布拉格、塞维利亚、波尔图、柏林</t>
        </is>
      </c>
    </row>
    <row r="7">
      <c r="A7" s="2" t="inlineStr">
        <is>
          <t>自然景观优先</t>
        </is>
      </c>
      <c r="B7" s="2" t="inlineStr">
        <is>
          <t>挪威峡湾、少女峰、马特洪峰、冰岛南岸、拉普兰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数据范围</t>
        </is>
      </c>
      <c r="B2" s="2" t="inlineStr">
        <is>
          <t>欧洲代表性热门文化/自然/城市型景区，共30个样本景区。</t>
        </is>
      </c>
    </row>
    <row r="3">
      <c r="A3" s="2" t="inlineStr">
        <is>
          <t>字段口径</t>
        </is>
      </c>
      <c r="B3" s="2" t="inlineStr">
        <is>
          <t>沿用此前国际版5A式景区模板字段，并新增旅游安全度、华人安全度、儿童年龄段。</t>
        </is>
      </c>
    </row>
    <row r="4">
      <c r="A4" s="2" t="inlineStr">
        <is>
          <t>综合评分</t>
        </is>
      </c>
      <c r="B4" s="2" t="inlineStr">
        <is>
          <t>综合量化加权满意度 = 各维度10分制评分 × 权重后再乘10，结果为百分制。</t>
        </is>
      </c>
    </row>
    <row r="5">
      <c r="A5" s="2" t="inlineStr">
        <is>
          <t>预算说明</t>
        </is>
      </c>
      <c r="B5" s="2" t="inlineStr">
        <is>
          <t>平均酒景预算为档位化字段：低/中低/中/中高/高；另转换为预算评分参与加权。</t>
        </is>
      </c>
    </row>
    <row r="6">
      <c r="A6" s="2" t="inlineStr">
        <is>
          <t>时长说明</t>
        </is>
      </c>
      <c r="B6" s="2" t="inlineStr">
        <is>
          <t>游览时长为文本字段，同时映射为游览时长评分参与加权。</t>
        </is>
      </c>
    </row>
    <row r="7">
      <c r="A7" s="2" t="inlineStr">
        <is>
          <t>季节说明</t>
        </is>
      </c>
      <c r="B7" s="2" t="inlineStr">
        <is>
          <t>季节适宜性为文本字段，同时映射为季节评分参与加权。</t>
        </is>
      </c>
    </row>
    <row r="8">
      <c r="A8" s="2" t="inlineStr">
        <is>
          <t>来源</t>
        </is>
      </c>
      <c r="B8" s="2" t="inlineStr">
        <is>
          <t>由已生成的《欧洲国际版5A式景区报告_2026.docx》转表。</t>
        </is>
      </c>
    </row>
    <row r="9">
      <c r="A9" s="2" t="inlineStr">
        <is>
          <t>注意</t>
        </is>
      </c>
      <c r="B9" s="2" t="inlineStr">
        <is>
          <t>用于筛选与比较，不替代官方旅游分级、实时治安预警或签证政策查询。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22" customWidth="1" min="14" max="14"/>
    <col width="10" customWidth="1" min="15" max="15"/>
    <col width="18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6" customWidth="1" min="22" max="22"/>
    <col width="12" customWidth="1" min="23" max="23"/>
    <col width="26" customWidth="1" min="24" max="24"/>
    <col hidden="1" width="10" customWidth="1" min="25" max="25"/>
  </cols>
  <sheetData>
    <row r="1">
      <c r="A1" s="4" t="inlineStr">
        <is>
          <t>国家</t>
        </is>
      </c>
      <c r="B1" s="4" t="inlineStr">
        <is>
          <t>城市</t>
        </is>
      </c>
      <c r="C1" s="4" t="inlineStr">
        <is>
          <t>景区</t>
        </is>
      </c>
      <c r="D1" s="4" t="inlineStr">
        <is>
          <t>游客口碑</t>
        </is>
      </c>
      <c r="E1" s="4" t="inlineStr">
        <is>
          <t>亲子友好度</t>
        </is>
      </c>
      <c r="F1" s="4" t="inlineStr">
        <is>
          <t>老人友好度</t>
        </is>
      </c>
      <c r="G1" s="4" t="inlineStr">
        <is>
          <t>夫妻友好度</t>
        </is>
      </c>
      <c r="H1" s="4" t="inlineStr">
        <is>
          <t>一人游友好度</t>
        </is>
      </c>
      <c r="I1" s="4" t="inlineStr">
        <is>
          <t>游览时长</t>
        </is>
      </c>
      <c r="J1" s="4" t="inlineStr">
        <is>
          <t>游览时长评分</t>
        </is>
      </c>
      <c r="K1" s="4" t="inlineStr">
        <is>
          <t>平均酒景预算</t>
        </is>
      </c>
      <c r="L1" s="4" t="inlineStr">
        <is>
          <t>预算评分</t>
        </is>
      </c>
      <c r="M1" s="4" t="inlineStr">
        <is>
          <t>城市交通可达性</t>
        </is>
      </c>
      <c r="N1" s="4" t="inlineStr">
        <is>
          <t>季节适宜性</t>
        </is>
      </c>
      <c r="O1" s="4" t="inlineStr">
        <is>
          <t>季节评分</t>
        </is>
      </c>
      <c r="P1" s="4" t="inlineStr">
        <is>
          <t>最佳旅游季节和月份</t>
        </is>
      </c>
      <c r="Q1" s="4" t="inlineStr">
        <is>
          <t>文化/生态/独特价值</t>
        </is>
      </c>
      <c r="R1" s="4" t="inlineStr">
        <is>
          <t>基础设施与配套</t>
        </is>
      </c>
      <c r="S1" s="4" t="inlineStr">
        <is>
          <t>性价比</t>
        </is>
      </c>
      <c r="T1" s="4" t="inlineStr">
        <is>
          <t>旅游安全度</t>
        </is>
      </c>
      <c r="U1" s="4" t="inlineStr">
        <is>
          <t>华人安全度</t>
        </is>
      </c>
      <c r="V1" s="4" t="inlineStr">
        <is>
          <t>适合多大年龄段的小朋友一起出行</t>
        </is>
      </c>
      <c r="W1" s="4" t="inlineStr">
        <is>
          <t>综合量化加权满意度</t>
        </is>
      </c>
      <c r="X1" s="4" t="inlineStr">
        <is>
          <t>来源/备注</t>
        </is>
      </c>
      <c r="Y1" s="4" t="inlineStr">
        <is>
          <t>价值评分</t>
        </is>
      </c>
    </row>
    <row r="2">
      <c r="A2" s="2" t="inlineStr">
        <is>
          <t>法国</t>
        </is>
      </c>
      <c r="B2" s="2" t="inlineStr">
        <is>
          <t>巴黎</t>
        </is>
      </c>
      <c r="C2" s="2" t="inlineStr">
        <is>
          <t>卢浮宫+塞纳河历史轴线</t>
        </is>
      </c>
      <c r="D2" s="2" t="n">
        <v>9.5</v>
      </c>
      <c r="E2" s="2" t="n">
        <v>8.5</v>
      </c>
      <c r="F2" s="2" t="n">
        <v>8</v>
      </c>
      <c r="G2" s="2" t="n">
        <v>9.5</v>
      </c>
      <c r="H2" s="2" t="n">
        <v>8.800000000000001</v>
      </c>
      <c r="I2" s="2" t="inlineStr">
        <is>
          <t>1.5-2天</t>
        </is>
      </c>
      <c r="J2" s="2" t="n">
        <v>8.800000000000001</v>
      </c>
      <c r="K2" s="2" t="inlineStr">
        <is>
          <t>中高</t>
        </is>
      </c>
      <c r="L2" s="2" t="n">
        <v>7.2</v>
      </c>
      <c r="M2" s="2" t="n">
        <v>10</v>
      </c>
      <c r="N2" s="2" t="inlineStr">
        <is>
          <t>全年可游，冬季体验略弱</t>
        </is>
      </c>
      <c r="O2" s="2" t="n">
        <v>8.699999999999999</v>
      </c>
      <c r="P2" s="2" t="inlineStr">
        <is>
          <t>4-6月,9-10月</t>
        </is>
      </c>
      <c r="Q2" s="2" t="inlineStr">
        <is>
          <t>文化/独特</t>
        </is>
      </c>
      <c r="R2" s="2" t="n">
        <v>9.5</v>
      </c>
      <c r="S2" s="2" t="n">
        <v>7.8</v>
      </c>
      <c r="T2" s="2" t="n">
        <v>8</v>
      </c>
      <c r="U2" s="2" t="n">
        <v>7.6</v>
      </c>
      <c r="V2" s="2" t="inlineStr">
        <is>
          <t>6岁+</t>
        </is>
      </c>
      <c r="W2" s="2">
        <f>ROUND((D2*评分权重!$F$2+E2*评分权重!$F$3+F2*评分权重!$F$4+G2*评分权重!$F$5+H2*评分权重!$F$6+J2*评分权重!$F$7+L2*评分权重!$F$8+M2*评分权重!$F$9+O2*评分权重!$F$10+Y2*评分权重!$F$11+R2*评分权重!$F$12+S2*评分权重!$F$13+T2*评分权重!$F$14+U2*评分权重!$F$15)*10,1)</f>
        <v/>
      </c>
      <c r="X2" s="2" t="inlineStr">
        <is>
          <t>由《欧洲国际版5A式景区报告_2026》转表；综合分按权重表公式重算</t>
        </is>
      </c>
      <c r="Y2" s="2">
        <f>IFERROR(VLOOKUP(Q2,评分映射!$A$2:$B$10,2,FALSE),9)</f>
        <v/>
      </c>
    </row>
    <row r="3">
      <c r="A3" s="2" t="inlineStr">
        <is>
          <t>英国</t>
        </is>
      </c>
      <c r="B3" s="2" t="inlineStr">
        <is>
          <t>伦敦</t>
        </is>
      </c>
      <c r="C3" s="2" t="inlineStr">
        <is>
          <t>大英博物馆+威斯敏斯特片区</t>
        </is>
      </c>
      <c r="D3" s="2" t="n">
        <v>9.4</v>
      </c>
      <c r="E3" s="2" t="n">
        <v>8.800000000000001</v>
      </c>
      <c r="F3" s="2" t="n">
        <v>8.1</v>
      </c>
      <c r="G3" s="2" t="n">
        <v>9</v>
      </c>
      <c r="H3" s="2" t="n">
        <v>9</v>
      </c>
      <c r="I3" s="2" t="inlineStr">
        <is>
          <t>1-2天</t>
        </is>
      </c>
      <c r="J3" s="2" t="n">
        <v>9</v>
      </c>
      <c r="K3" s="2" t="inlineStr">
        <is>
          <t>中高</t>
        </is>
      </c>
      <c r="L3" s="2" t="n">
        <v>7.2</v>
      </c>
      <c r="M3" s="2" t="n">
        <v>10</v>
      </c>
      <c r="N3" s="2" t="inlineStr">
        <is>
          <t>全年可游</t>
        </is>
      </c>
      <c r="O3" s="2" t="n">
        <v>9.199999999999999</v>
      </c>
      <c r="P3" s="2" t="inlineStr">
        <is>
          <t>4-6月,9-10月</t>
        </is>
      </c>
      <c r="Q3" s="2" t="inlineStr">
        <is>
          <t>文化</t>
        </is>
      </c>
      <c r="R3" s="2" t="n">
        <v>9.5</v>
      </c>
      <c r="S3" s="2" t="n">
        <v>7.8</v>
      </c>
      <c r="T3" s="2" t="n">
        <v>8.300000000000001</v>
      </c>
      <c r="U3" s="2" t="n">
        <v>7.8</v>
      </c>
      <c r="V3" s="2" t="inlineStr">
        <is>
          <t>5岁+</t>
        </is>
      </c>
      <c r="W3" s="2">
        <f>ROUND((D3*评分权重!$F$2+E3*评分权重!$F$3+F3*评分权重!$F$4+G3*评分权重!$F$5+H3*评分权重!$F$6+J3*评分权重!$F$7+L3*评分权重!$F$8+M3*评分权重!$F$9+O3*评分权重!$F$10+Y3*评分权重!$F$11+R3*评分权重!$F$12+S3*评分权重!$F$13+T3*评分权重!$F$14+U3*评分权重!$F$15)*10,1)</f>
        <v/>
      </c>
      <c r="X3" s="2" t="inlineStr">
        <is>
          <t>由《欧洲国际版5A式景区报告_2026》转表；综合分按权重表公式重算</t>
        </is>
      </c>
      <c r="Y3" s="2">
        <f>IFERROR(VLOOKUP(Q3,评分映射!$A$2:$B$10,2,FALSE),9)</f>
        <v/>
      </c>
    </row>
    <row r="4">
      <c r="A4" s="2" t="inlineStr">
        <is>
          <t>西班牙</t>
        </is>
      </c>
      <c r="B4" s="2" t="inlineStr">
        <is>
          <t>巴塞罗那</t>
        </is>
      </c>
      <c r="C4" s="2" t="inlineStr">
        <is>
          <t>圣家堂+高迪建筑群</t>
        </is>
      </c>
      <c r="D4" s="2" t="n">
        <v>9.4</v>
      </c>
      <c r="E4" s="2" t="n">
        <v>8.4</v>
      </c>
      <c r="F4" s="2" t="n">
        <v>7.5</v>
      </c>
      <c r="G4" s="2" t="n">
        <v>9.300000000000001</v>
      </c>
      <c r="H4" s="2" t="n">
        <v>8.9</v>
      </c>
      <c r="I4" s="2" t="inlineStr">
        <is>
          <t>1-2天</t>
        </is>
      </c>
      <c r="J4" s="2" t="n">
        <v>9</v>
      </c>
      <c r="K4" s="2" t="inlineStr">
        <is>
          <t>中</t>
        </is>
      </c>
      <c r="L4" s="2" t="n">
        <v>8.199999999999999</v>
      </c>
      <c r="M4" s="2" t="n">
        <v>10</v>
      </c>
      <c r="N4" s="2" t="inlineStr">
        <is>
          <t>全年可游</t>
        </is>
      </c>
      <c r="O4" s="2" t="n">
        <v>9.199999999999999</v>
      </c>
      <c r="P4" s="2" t="inlineStr">
        <is>
          <t>4-6月,9-10月</t>
        </is>
      </c>
      <c r="Q4" s="2" t="inlineStr">
        <is>
          <t>文化/独特</t>
        </is>
      </c>
      <c r="R4" s="2" t="n">
        <v>9.199999999999999</v>
      </c>
      <c r="S4" s="2" t="n">
        <v>8</v>
      </c>
      <c r="T4" s="2" t="n">
        <v>8.199999999999999</v>
      </c>
      <c r="U4" s="2" t="n">
        <v>7.4</v>
      </c>
      <c r="V4" s="2" t="inlineStr">
        <is>
          <t>5岁+</t>
        </is>
      </c>
      <c r="W4" s="2">
        <f>ROUND((D4*评分权重!$F$2+E4*评分权重!$F$3+F4*评分权重!$F$4+G4*评分权重!$F$5+H4*评分权重!$F$6+J4*评分权重!$F$7+L4*评分权重!$F$8+M4*评分权重!$F$9+O4*评分权重!$F$10+Y4*评分权重!$F$11+R4*评分权重!$F$12+S4*评分权重!$F$13+T4*评分权重!$F$14+U4*评分权重!$F$15)*10,1)</f>
        <v/>
      </c>
      <c r="X4" s="2" t="inlineStr">
        <is>
          <t>由《欧洲国际版5A式景区报告_2026》转表；综合分按权重表公式重算</t>
        </is>
      </c>
      <c r="Y4" s="2">
        <f>IFERROR(VLOOKUP(Q4,评分映射!$A$2:$B$10,2,FALSE),9)</f>
        <v/>
      </c>
    </row>
    <row r="5">
      <c r="A5" s="2" t="inlineStr">
        <is>
          <t>瑞士</t>
        </is>
      </c>
      <c r="B5" s="2" t="inlineStr">
        <is>
          <t>琉森/因特拉肯</t>
        </is>
      </c>
      <c r="C5" s="2" t="inlineStr">
        <is>
          <t>少女峰地区</t>
        </is>
      </c>
      <c r="D5" s="2" t="n">
        <v>9.5</v>
      </c>
      <c r="E5" s="2" t="n">
        <v>9.1</v>
      </c>
      <c r="F5" s="2" t="n">
        <v>7.8</v>
      </c>
      <c r="G5" s="2" t="n">
        <v>9.4</v>
      </c>
      <c r="H5" s="2" t="n">
        <v>9</v>
      </c>
      <c r="I5" s="2" t="inlineStr">
        <is>
          <t>1-2天</t>
        </is>
      </c>
      <c r="J5" s="2" t="n">
        <v>9</v>
      </c>
      <c r="K5" s="2" t="inlineStr">
        <is>
          <t>高</t>
        </is>
      </c>
      <c r="L5" s="2" t="n">
        <v>6.2</v>
      </c>
      <c r="M5" s="2" t="n">
        <v>8.5</v>
      </c>
      <c r="N5" s="2" t="inlineStr">
        <is>
          <t>四季皆宜</t>
        </is>
      </c>
      <c r="O5" s="2" t="n">
        <v>8.300000000000001</v>
      </c>
      <c r="P5" s="2" t="inlineStr">
        <is>
          <t>6-9月,12-2月</t>
        </is>
      </c>
      <c r="Q5" s="2" t="inlineStr">
        <is>
          <t>生态/独特</t>
        </is>
      </c>
      <c r="R5" s="2" t="n">
        <v>9.199999999999999</v>
      </c>
      <c r="S5" s="2" t="n">
        <v>6.8</v>
      </c>
      <c r="T5" s="2" t="n">
        <v>9.199999999999999</v>
      </c>
      <c r="U5" s="2" t="n">
        <v>8.199999999999999</v>
      </c>
      <c r="V5" s="2" t="inlineStr">
        <is>
          <t>5岁+</t>
        </is>
      </c>
      <c r="W5" s="2">
        <f>ROUND((D5*评分权重!$F$2+E5*评分权重!$F$3+F5*评分权重!$F$4+G5*评分权重!$F$5+H5*评分权重!$F$6+J5*评分权重!$F$7+L5*评分权重!$F$8+M5*评分权重!$F$9+O5*评分权重!$F$10+Y5*评分权重!$F$11+R5*评分权重!$F$12+S5*评分权重!$F$13+T5*评分权重!$F$14+U5*评分权重!$F$15)*10,1)</f>
        <v/>
      </c>
      <c r="X5" s="2" t="inlineStr">
        <is>
          <t>由《欧洲国际版5A式景区报告_2026》转表；综合分按权重表公式重算</t>
        </is>
      </c>
      <c r="Y5" s="2">
        <f>IFERROR(VLOOKUP(Q5,评分映射!$A$2:$B$10,2,FALSE),9)</f>
        <v/>
      </c>
    </row>
    <row r="6">
      <c r="A6" s="2" t="inlineStr">
        <is>
          <t>奥地利</t>
        </is>
      </c>
      <c r="B6" s="2" t="inlineStr">
        <is>
          <t>维也纳</t>
        </is>
      </c>
      <c r="C6" s="2" t="inlineStr">
        <is>
          <t>美泉宫+维也纳历史中心</t>
        </is>
      </c>
      <c r="D6" s="2" t="n">
        <v>9.1</v>
      </c>
      <c r="E6" s="2" t="n">
        <v>8.5</v>
      </c>
      <c r="F6" s="2" t="n">
        <v>8.199999999999999</v>
      </c>
      <c r="G6" s="2" t="n">
        <v>8.9</v>
      </c>
      <c r="H6" s="2" t="n">
        <v>8.699999999999999</v>
      </c>
      <c r="I6" s="2" t="inlineStr">
        <is>
          <t>1-2天</t>
        </is>
      </c>
      <c r="J6" s="2" t="n">
        <v>9</v>
      </c>
      <c r="K6" s="2" t="inlineStr">
        <is>
          <t>中</t>
        </is>
      </c>
      <c r="L6" s="2" t="n">
        <v>8.199999999999999</v>
      </c>
      <c r="M6" s="2" t="n">
        <v>9.199999999999999</v>
      </c>
      <c r="N6" s="2" t="inlineStr">
        <is>
          <t>全年可游</t>
        </is>
      </c>
      <c r="O6" s="2" t="n">
        <v>9.199999999999999</v>
      </c>
      <c r="P6" s="2" t="inlineStr">
        <is>
          <t>4-6月,9-12月</t>
        </is>
      </c>
      <c r="Q6" s="2" t="inlineStr">
        <is>
          <t>文化</t>
        </is>
      </c>
      <c r="R6" s="2" t="n">
        <v>9</v>
      </c>
      <c r="S6" s="2" t="n">
        <v>8.199999999999999</v>
      </c>
      <c r="T6" s="2" t="n">
        <v>8.9</v>
      </c>
      <c r="U6" s="2" t="n">
        <v>8.300000000000001</v>
      </c>
      <c r="V6" s="2" t="inlineStr">
        <is>
          <t>4岁+</t>
        </is>
      </c>
      <c r="W6" s="2">
        <f>ROUND((D6*评分权重!$F$2+E6*评分权重!$F$3+F6*评分权重!$F$4+G6*评分权重!$F$5+H6*评分权重!$F$6+J6*评分权重!$F$7+L6*评分权重!$F$8+M6*评分权重!$F$9+O6*评分权重!$F$10+Y6*评分权重!$F$11+R6*评分权重!$F$12+S6*评分权重!$F$13+T6*评分权重!$F$14+U6*评分权重!$F$15)*10,1)</f>
        <v/>
      </c>
      <c r="X6" s="2" t="inlineStr">
        <is>
          <t>由《欧洲国际版5A式景区报告_2026》转表；综合分按权重表公式重算</t>
        </is>
      </c>
      <c r="Y6" s="2">
        <f>IFERROR(VLOOKUP(Q6,评分映射!$A$2:$B$10,2,FALSE),9)</f>
        <v/>
      </c>
    </row>
    <row r="7">
      <c r="A7" s="2" t="inlineStr">
        <is>
          <t>芬兰</t>
        </is>
      </c>
      <c r="B7" s="2" t="inlineStr">
        <is>
          <t>赫尔辛基/罗瓦涅米</t>
        </is>
      </c>
      <c r="C7" s="2" t="inlineStr">
        <is>
          <t>圣诞老人村+拉普兰体验</t>
        </is>
      </c>
      <c r="D7" s="2" t="n">
        <v>8.9</v>
      </c>
      <c r="E7" s="2" t="n">
        <v>9.199999999999999</v>
      </c>
      <c r="F7" s="2" t="n">
        <v>7.8</v>
      </c>
      <c r="G7" s="2" t="n">
        <v>8.699999999999999</v>
      </c>
      <c r="H7" s="2" t="n">
        <v>8.800000000000001</v>
      </c>
      <c r="I7" s="2" t="inlineStr">
        <is>
          <t>1-3天</t>
        </is>
      </c>
      <c r="J7" s="2" t="n">
        <v>8</v>
      </c>
      <c r="K7" s="2" t="inlineStr">
        <is>
          <t>中高</t>
        </is>
      </c>
      <c r="L7" s="2" t="n">
        <v>7.2</v>
      </c>
      <c r="M7" s="2" t="n">
        <v>7.5</v>
      </c>
      <c r="N7" s="2" t="inlineStr">
        <is>
          <t>冬季特色强</t>
        </is>
      </c>
      <c r="O7" s="2" t="n">
        <v>8.300000000000001</v>
      </c>
      <c r="P7" s="2" t="inlineStr">
        <is>
          <t>12-3月</t>
        </is>
      </c>
      <c r="Q7" s="2" t="inlineStr">
        <is>
          <t>亲子/生态</t>
        </is>
      </c>
      <c r="R7" s="2" t="n">
        <v>8.699999999999999</v>
      </c>
      <c r="S7" s="2" t="n">
        <v>7</v>
      </c>
      <c r="T7" s="2" t="n">
        <v>9.1</v>
      </c>
      <c r="U7" s="2" t="n">
        <v>8.4</v>
      </c>
      <c r="V7" s="2" t="inlineStr">
        <is>
          <t>3-12岁</t>
        </is>
      </c>
      <c r="W7" s="2">
        <f>ROUND((D7*评分权重!$F$2+E7*评分权重!$F$3+F7*评分权重!$F$4+G7*评分权重!$F$5+H7*评分权重!$F$6+J7*评分权重!$F$7+L7*评分权重!$F$8+M7*评分权重!$F$9+O7*评分权重!$F$10+Y7*评分权重!$F$11+R7*评分权重!$F$12+S7*评分权重!$F$13+T7*评分权重!$F$14+U7*评分权重!$F$15)*10,1)</f>
        <v/>
      </c>
      <c r="X7" s="2" t="inlineStr">
        <is>
          <t>由《欧洲国际版5A式景区报告_2026》转表；综合分按权重表公式重算</t>
        </is>
      </c>
      <c r="Y7" s="2">
        <f>IFERROR(VLOOKUP(Q7,评分映射!$A$2:$B$10,2,FALSE),9)</f>
        <v/>
      </c>
    </row>
    <row r="8">
      <c r="A8" s="2" t="inlineStr">
        <is>
          <t>葡萄牙</t>
        </is>
      </c>
      <c r="B8" s="2" t="inlineStr">
        <is>
          <t>辛特拉</t>
        </is>
      </c>
      <c r="C8" s="2" t="inlineStr">
        <is>
          <t>辛特拉文化景观</t>
        </is>
      </c>
      <c r="D8" s="2" t="n">
        <v>9.1</v>
      </c>
      <c r="E8" s="2" t="n">
        <v>8.199999999999999</v>
      </c>
      <c r="F8" s="2" t="n">
        <v>7.4</v>
      </c>
      <c r="G8" s="2" t="n">
        <v>9</v>
      </c>
      <c r="H8" s="2" t="n">
        <v>8.800000000000001</v>
      </c>
      <c r="I8" s="2" t="inlineStr">
        <is>
          <t>1天</t>
        </is>
      </c>
      <c r="J8" s="2" t="n">
        <v>9.5</v>
      </c>
      <c r="K8" s="2" t="inlineStr">
        <is>
          <t>中</t>
        </is>
      </c>
      <c r="L8" s="2" t="n">
        <v>8.199999999999999</v>
      </c>
      <c r="M8" s="2" t="n">
        <v>8.800000000000001</v>
      </c>
      <c r="N8" s="2" t="inlineStr">
        <is>
          <t>春秋最佳</t>
        </is>
      </c>
      <c r="O8" s="2" t="n">
        <v>8.800000000000001</v>
      </c>
      <c r="P8" s="2" t="inlineStr">
        <is>
          <t>4-6月,9-10月</t>
        </is>
      </c>
      <c r="Q8" s="2" t="inlineStr">
        <is>
          <t>文化/自然</t>
        </is>
      </c>
      <c r="R8" s="2" t="n">
        <v>8.4</v>
      </c>
      <c r="S8" s="2" t="n">
        <v>8.699999999999999</v>
      </c>
      <c r="T8" s="2" t="n">
        <v>8.800000000000001</v>
      </c>
      <c r="U8" s="2" t="n">
        <v>8.300000000000001</v>
      </c>
      <c r="V8" s="2" t="inlineStr">
        <is>
          <t>5岁+</t>
        </is>
      </c>
      <c r="W8" s="2">
        <f>ROUND((D8*评分权重!$F$2+E8*评分权重!$F$3+F8*评分权重!$F$4+G8*评分权重!$F$5+H8*评分权重!$F$6+J8*评分权重!$F$7+L8*评分权重!$F$8+M8*评分权重!$F$9+O8*评分权重!$F$10+Y8*评分权重!$F$11+R8*评分权重!$F$12+S8*评分权重!$F$13+T8*评分权重!$F$14+U8*评分权重!$F$15)*10,1)</f>
        <v/>
      </c>
      <c r="X8" s="2" t="inlineStr">
        <is>
          <t>由《欧洲国际版5A式景区报告_2026》转表；综合分按权重表公式重算</t>
        </is>
      </c>
      <c r="Y8" s="2">
        <f>IFERROR(VLOOKUP(Q8,评分映射!$A$2:$B$10,2,FALSE),9)</f>
        <v/>
      </c>
    </row>
    <row r="9">
      <c r="A9" s="2" t="inlineStr">
        <is>
          <t>荷兰</t>
        </is>
      </c>
      <c r="B9" s="2" t="inlineStr">
        <is>
          <t>阿姆斯特丹</t>
        </is>
      </c>
      <c r="C9" s="2" t="inlineStr">
        <is>
          <t>运河环带+博物馆区</t>
        </is>
      </c>
      <c r="D9" s="2" t="n">
        <v>9</v>
      </c>
      <c r="E9" s="2" t="n">
        <v>8.6</v>
      </c>
      <c r="F9" s="2" t="n">
        <v>8</v>
      </c>
      <c r="G9" s="2" t="n">
        <v>8.800000000000001</v>
      </c>
      <c r="H9" s="2" t="n">
        <v>8.9</v>
      </c>
      <c r="I9" s="2" t="inlineStr">
        <is>
          <t>1-2天</t>
        </is>
      </c>
      <c r="J9" s="2" t="n">
        <v>9</v>
      </c>
      <c r="K9" s="2" t="inlineStr">
        <is>
          <t>中高</t>
        </is>
      </c>
      <c r="L9" s="2" t="n">
        <v>7.2</v>
      </c>
      <c r="M9" s="2" t="n">
        <v>10</v>
      </c>
      <c r="N9" s="2" t="inlineStr">
        <is>
          <t>春夏秋佳</t>
        </is>
      </c>
      <c r="O9" s="2" t="n">
        <v>8.6</v>
      </c>
      <c r="P9" s="2" t="inlineStr">
        <is>
          <t>4-10月</t>
        </is>
      </c>
      <c r="Q9" s="2" t="inlineStr">
        <is>
          <t>文化</t>
        </is>
      </c>
      <c r="R9" s="2" t="n">
        <v>9</v>
      </c>
      <c r="S9" s="2" t="n">
        <v>7.4</v>
      </c>
      <c r="T9" s="2" t="n">
        <v>8.699999999999999</v>
      </c>
      <c r="U9" s="2" t="n">
        <v>8.1</v>
      </c>
      <c r="V9" s="2" t="inlineStr">
        <is>
          <t>4岁+</t>
        </is>
      </c>
      <c r="W9" s="2">
        <f>ROUND((D9*评分权重!$F$2+E9*评分权重!$F$3+F9*评分权重!$F$4+G9*评分权重!$F$5+H9*评分权重!$F$6+J9*评分权重!$F$7+L9*评分权重!$F$8+M9*评分权重!$F$9+O9*评分权重!$F$10+Y9*评分权重!$F$11+R9*评分权重!$F$12+S9*评分权重!$F$13+T9*评分权重!$F$14+U9*评分权重!$F$15)*10,1)</f>
        <v/>
      </c>
      <c r="X9" s="2" t="inlineStr">
        <is>
          <t>由《欧洲国际版5A式景区报告_2026》转表；综合分按权重表公式重算</t>
        </is>
      </c>
      <c r="Y9" s="2">
        <f>IFERROR(VLOOKUP(Q9,评分映射!$A$2:$B$10,2,FALSE),9)</f>
        <v/>
      </c>
    </row>
    <row r="10">
      <c r="A10" s="2" t="inlineStr">
        <is>
          <t>捷克</t>
        </is>
      </c>
      <c r="B10" s="2" t="inlineStr">
        <is>
          <t>布拉格</t>
        </is>
      </c>
      <c r="C10" s="2" t="inlineStr">
        <is>
          <t>布拉格历史中心</t>
        </is>
      </c>
      <c r="D10" s="2" t="n">
        <v>9.199999999999999</v>
      </c>
      <c r="E10" s="2" t="n">
        <v>7.9</v>
      </c>
      <c r="F10" s="2" t="n">
        <v>7</v>
      </c>
      <c r="G10" s="2" t="n">
        <v>9.4</v>
      </c>
      <c r="H10" s="2" t="n">
        <v>8.9</v>
      </c>
      <c r="I10" s="2" t="inlineStr">
        <is>
          <t>1-2天</t>
        </is>
      </c>
      <c r="J10" s="2" t="n">
        <v>9</v>
      </c>
      <c r="K10" s="2" t="inlineStr">
        <is>
          <t>中低</t>
        </is>
      </c>
      <c r="L10" s="2" t="n">
        <v>8.699999999999999</v>
      </c>
      <c r="M10" s="2" t="n">
        <v>9</v>
      </c>
      <c r="N10" s="2" t="inlineStr">
        <is>
          <t>春秋最佳</t>
        </is>
      </c>
      <c r="O10" s="2" t="n">
        <v>8.800000000000001</v>
      </c>
      <c r="P10" s="2" t="inlineStr">
        <is>
          <t>4-6月,9-10月</t>
        </is>
      </c>
      <c r="Q10" s="2" t="inlineStr">
        <is>
          <t>文化/独特</t>
        </is>
      </c>
      <c r="R10" s="2" t="n">
        <v>8.4</v>
      </c>
      <c r="S10" s="2" t="n">
        <v>9</v>
      </c>
      <c r="T10" s="2" t="n">
        <v>8.199999999999999</v>
      </c>
      <c r="U10" s="2" t="n">
        <v>7.7</v>
      </c>
      <c r="V10" s="2" t="inlineStr">
        <is>
          <t>7岁+</t>
        </is>
      </c>
      <c r="W10" s="2">
        <f>ROUND((D10*评分权重!$F$2+E10*评分权重!$F$3+F10*评分权重!$F$4+G10*评分权重!$F$5+H10*评分权重!$F$6+J10*评分权重!$F$7+L10*评分权重!$F$8+M10*评分权重!$F$9+O10*评分权重!$F$10+Y10*评分权重!$F$11+R10*评分权重!$F$12+S10*评分权重!$F$13+T10*评分权重!$F$14+U10*评分权重!$F$15)*10,1)</f>
        <v/>
      </c>
      <c r="X10" s="2" t="inlineStr">
        <is>
          <t>由《欧洲国际版5A式景区报告_2026》转表；综合分按权重表公式重算</t>
        </is>
      </c>
      <c r="Y10" s="2">
        <f>IFERROR(VLOOKUP(Q10,评分映射!$A$2:$B$10,2,FALSE),9)</f>
        <v/>
      </c>
    </row>
    <row r="11">
      <c r="A11" s="2" t="inlineStr">
        <is>
          <t>挪威</t>
        </is>
      </c>
      <c r="B11" s="2" t="inlineStr">
        <is>
          <t>卑尔根/弗洛姆</t>
        </is>
      </c>
      <c r="C11" s="2" t="inlineStr">
        <is>
          <t>挪威峡湾</t>
        </is>
      </c>
      <c r="D11" s="2" t="n">
        <v>9.5</v>
      </c>
      <c r="E11" s="2" t="n">
        <v>8.800000000000001</v>
      </c>
      <c r="F11" s="2" t="n">
        <v>7.8</v>
      </c>
      <c r="G11" s="2" t="n">
        <v>9.4</v>
      </c>
      <c r="H11" s="2" t="n">
        <v>9</v>
      </c>
      <c r="I11" s="2" t="inlineStr">
        <is>
          <t>1-3天</t>
        </is>
      </c>
      <c r="J11" s="2" t="n">
        <v>8</v>
      </c>
      <c r="K11" s="2" t="inlineStr">
        <is>
          <t>高</t>
        </is>
      </c>
      <c r="L11" s="2" t="n">
        <v>6.2</v>
      </c>
      <c r="M11" s="2" t="n">
        <v>7.2</v>
      </c>
      <c r="N11" s="2" t="inlineStr">
        <is>
          <t>夏季最佳</t>
        </is>
      </c>
      <c r="O11" s="2" t="n">
        <v>8.1</v>
      </c>
      <c r="P11" s="2" t="inlineStr">
        <is>
          <t>6-8月</t>
        </is>
      </c>
      <c r="Q11" s="2" t="inlineStr">
        <is>
          <t>生态/独特</t>
        </is>
      </c>
      <c r="R11" s="2" t="n">
        <v>8.5</v>
      </c>
      <c r="S11" s="2" t="n">
        <v>6.6</v>
      </c>
      <c r="T11" s="2" t="n">
        <v>9.4</v>
      </c>
      <c r="U11" s="2" t="n">
        <v>8.300000000000001</v>
      </c>
      <c r="V11" s="2" t="inlineStr">
        <is>
          <t>6岁+</t>
        </is>
      </c>
      <c r="W11" s="2">
        <f>ROUND((D11*评分权重!$F$2+E11*评分权重!$F$3+F11*评分权重!$F$4+G11*评分权重!$F$5+H11*评分权重!$F$6+J11*评分权重!$F$7+L11*评分权重!$F$8+M11*评分权重!$F$9+O11*评分权重!$F$10+Y11*评分权重!$F$11+R11*评分权重!$F$12+S11*评分权重!$F$13+T11*评分权重!$F$14+U11*评分权重!$F$15)*10,1)</f>
        <v/>
      </c>
      <c r="X11" s="2" t="inlineStr">
        <is>
          <t>由《欧洲国际版5A式景区报告_2026》转表；综合分按权重表公式重算</t>
        </is>
      </c>
      <c r="Y11" s="2">
        <f>IFERROR(VLOOKUP(Q11,评分映射!$A$2:$B$10,2,FALSE),9)</f>
        <v/>
      </c>
    </row>
    <row r="12">
      <c r="A12" s="2" t="inlineStr">
        <is>
          <t>意大利</t>
        </is>
      </c>
      <c r="B12" s="2" t="inlineStr">
        <is>
          <t>罗马</t>
        </is>
      </c>
      <c r="C12" s="2" t="inlineStr">
        <is>
          <t>罗马斗兽场-古罗马广场</t>
        </is>
      </c>
      <c r="D12" s="2" t="n">
        <v>9.4</v>
      </c>
      <c r="E12" s="2" t="n">
        <v>7.8</v>
      </c>
      <c r="F12" s="2" t="n">
        <v>6.8</v>
      </c>
      <c r="G12" s="2" t="n">
        <v>9.300000000000001</v>
      </c>
      <c r="H12" s="2" t="n">
        <v>8.5</v>
      </c>
      <c r="I12" s="2" t="inlineStr">
        <is>
          <t>1天</t>
        </is>
      </c>
      <c r="J12" s="2" t="n">
        <v>9.5</v>
      </c>
      <c r="K12" s="2" t="inlineStr">
        <is>
          <t>中</t>
        </is>
      </c>
      <c r="L12" s="2" t="n">
        <v>8.199999999999999</v>
      </c>
      <c r="M12" s="2" t="n">
        <v>9.5</v>
      </c>
      <c r="N12" s="2" t="inlineStr">
        <is>
          <t>避开盛夏</t>
        </is>
      </c>
      <c r="O12" s="2" t="n">
        <v>8.300000000000001</v>
      </c>
      <c r="P12" s="2" t="inlineStr">
        <is>
          <t>3-5月,10-11月</t>
        </is>
      </c>
      <c r="Q12" s="2" t="inlineStr">
        <is>
          <t>文化/独特</t>
        </is>
      </c>
      <c r="R12" s="2" t="n">
        <v>8.800000000000001</v>
      </c>
      <c r="S12" s="2" t="n">
        <v>7.9</v>
      </c>
      <c r="T12" s="2" t="n">
        <v>7.8</v>
      </c>
      <c r="U12" s="2" t="n">
        <v>7.2</v>
      </c>
      <c r="V12" s="2" t="inlineStr">
        <is>
          <t>8岁+</t>
        </is>
      </c>
      <c r="W12" s="2">
        <f>ROUND((D12*评分权重!$F$2+E12*评分权重!$F$3+F12*评分权重!$F$4+G12*评分权重!$F$5+H12*评分权重!$F$6+J12*评分权重!$F$7+L12*评分权重!$F$8+M12*评分权重!$F$9+O12*评分权重!$F$10+Y12*评分权重!$F$11+R12*评分权重!$F$12+S12*评分权重!$F$13+T12*评分权重!$F$14+U12*评分权重!$F$15)*10,1)</f>
        <v/>
      </c>
      <c r="X12" s="2" t="inlineStr">
        <is>
          <t>由《欧洲国际版5A式景区报告_2026》转表；综合分按权重表公式重算</t>
        </is>
      </c>
      <c r="Y12" s="2">
        <f>IFERROR(VLOOKUP(Q12,评分映射!$A$2:$B$10,2,FALSE),9)</f>
        <v/>
      </c>
    </row>
    <row r="13">
      <c r="A13" s="2" t="inlineStr">
        <is>
          <t>葡萄牙</t>
        </is>
      </c>
      <c r="B13" s="2" t="inlineStr">
        <is>
          <t>波尔图</t>
        </is>
      </c>
      <c r="C13" s="2" t="inlineStr">
        <is>
          <t>杜罗河谷+波尔图历史区</t>
        </is>
      </c>
      <c r="D13" s="2" t="n">
        <v>8.9</v>
      </c>
      <c r="E13" s="2" t="n">
        <v>7.8</v>
      </c>
      <c r="F13" s="2" t="n">
        <v>7.6</v>
      </c>
      <c r="G13" s="2" t="n">
        <v>9</v>
      </c>
      <c r="H13" s="2" t="n">
        <v>8.9</v>
      </c>
      <c r="I13" s="2" t="inlineStr">
        <is>
          <t>1-2天</t>
        </is>
      </c>
      <c r="J13" s="2" t="n">
        <v>9</v>
      </c>
      <c r="K13" s="2" t="inlineStr">
        <is>
          <t>中</t>
        </is>
      </c>
      <c r="L13" s="2" t="n">
        <v>8.199999999999999</v>
      </c>
      <c r="M13" s="2" t="n">
        <v>8.199999999999999</v>
      </c>
      <c r="N13" s="2" t="inlineStr">
        <is>
          <t>春秋最佳</t>
        </is>
      </c>
      <c r="O13" s="2" t="n">
        <v>8.800000000000001</v>
      </c>
      <c r="P13" s="2" t="inlineStr">
        <is>
          <t>4-6月,9-10月</t>
        </is>
      </c>
      <c r="Q13" s="2" t="inlineStr">
        <is>
          <t>文化/风景</t>
        </is>
      </c>
      <c r="R13" s="2" t="n">
        <v>8.300000000000001</v>
      </c>
      <c r="S13" s="2" t="n">
        <v>8.800000000000001</v>
      </c>
      <c r="T13" s="2" t="n">
        <v>8.800000000000001</v>
      </c>
      <c r="U13" s="2" t="n">
        <v>8.199999999999999</v>
      </c>
      <c r="V13" s="2" t="inlineStr">
        <is>
          <t>6岁+</t>
        </is>
      </c>
      <c r="W13" s="2">
        <f>ROUND((D13*评分权重!$F$2+E13*评分权重!$F$3+F13*评分权重!$F$4+G13*评分权重!$F$5+H13*评分权重!$F$6+J13*评分权重!$F$7+L13*评分权重!$F$8+M13*评分权重!$F$9+O13*评分权重!$F$10+Y13*评分权重!$F$11+R13*评分权重!$F$12+S13*评分权重!$F$13+T13*评分权重!$F$14+U13*评分权重!$F$15)*10,1)</f>
        <v/>
      </c>
      <c r="X13" s="2" t="inlineStr">
        <is>
          <t>由《欧洲国际版5A式景区报告_2026》转表；综合分按权重表公式重算</t>
        </is>
      </c>
      <c r="Y13" s="2">
        <f>IFERROR(VLOOKUP(Q13,评分映射!$A$2:$B$10,2,FALSE),9)</f>
        <v/>
      </c>
    </row>
    <row r="14">
      <c r="A14" s="2" t="inlineStr">
        <is>
          <t>瑞士</t>
        </is>
      </c>
      <c r="B14" s="2" t="inlineStr">
        <is>
          <t>采尔马特</t>
        </is>
      </c>
      <c r="C14" s="2" t="inlineStr">
        <is>
          <t>马特洪峰地区</t>
        </is>
      </c>
      <c r="D14" s="2" t="n">
        <v>9.4</v>
      </c>
      <c r="E14" s="2" t="n">
        <v>8.5</v>
      </c>
      <c r="F14" s="2" t="n">
        <v>7.4</v>
      </c>
      <c r="G14" s="2" t="n">
        <v>9.5</v>
      </c>
      <c r="H14" s="2" t="n">
        <v>9</v>
      </c>
      <c r="I14" s="2" t="inlineStr">
        <is>
          <t>1-2天</t>
        </is>
      </c>
      <c r="J14" s="2" t="n">
        <v>9</v>
      </c>
      <c r="K14" s="2" t="inlineStr">
        <is>
          <t>高</t>
        </is>
      </c>
      <c r="L14" s="2" t="n">
        <v>6.2</v>
      </c>
      <c r="M14" s="2" t="n">
        <v>7.8</v>
      </c>
      <c r="N14" s="2" t="inlineStr">
        <is>
          <t>四季皆宜</t>
        </is>
      </c>
      <c r="O14" s="2" t="n">
        <v>8.300000000000001</v>
      </c>
      <c r="P14" s="2" t="inlineStr">
        <is>
          <t>6-9月,12-2月</t>
        </is>
      </c>
      <c r="Q14" s="2" t="inlineStr">
        <is>
          <t>生态/独特</t>
        </is>
      </c>
      <c r="R14" s="2" t="n">
        <v>8.800000000000001</v>
      </c>
      <c r="S14" s="2" t="n">
        <v>6.5</v>
      </c>
      <c r="T14" s="2" t="n">
        <v>9.1</v>
      </c>
      <c r="U14" s="2" t="n">
        <v>8</v>
      </c>
      <c r="V14" s="2" t="inlineStr">
        <is>
          <t>6岁+</t>
        </is>
      </c>
      <c r="W14" s="2">
        <f>ROUND((D14*评分权重!$F$2+E14*评分权重!$F$3+F14*评分权重!$F$4+G14*评分权重!$F$5+H14*评分权重!$F$6+J14*评分权重!$F$7+L14*评分权重!$F$8+M14*评分权重!$F$9+O14*评分权重!$F$10+Y14*评分权重!$F$11+R14*评分权重!$F$12+S14*评分权重!$F$13+T14*评分权重!$F$14+U14*评分权重!$F$15)*10,1)</f>
        <v/>
      </c>
      <c r="X14" s="2" t="inlineStr">
        <is>
          <t>由《欧洲国际版5A式景区报告_2026》转表；综合分按权重表公式重算</t>
        </is>
      </c>
      <c r="Y14" s="2">
        <f>IFERROR(VLOOKUP(Q14,评分映射!$A$2:$B$10,2,FALSE),9)</f>
        <v/>
      </c>
    </row>
    <row r="15">
      <c r="A15" s="2" t="inlineStr">
        <is>
          <t>奥地利</t>
        </is>
      </c>
      <c r="B15" s="2" t="inlineStr">
        <is>
          <t>萨尔茨堡</t>
        </is>
      </c>
      <c r="C15" s="2" t="inlineStr">
        <is>
          <t>萨尔茨堡老城</t>
        </is>
      </c>
      <c r="D15" s="2" t="n">
        <v>8.9</v>
      </c>
      <c r="E15" s="2" t="n">
        <v>8</v>
      </c>
      <c r="F15" s="2" t="n">
        <v>8</v>
      </c>
      <c r="G15" s="2" t="n">
        <v>8.800000000000001</v>
      </c>
      <c r="H15" s="2" t="n">
        <v>8.6</v>
      </c>
      <c r="I15" s="2" t="inlineStr">
        <is>
          <t>1天</t>
        </is>
      </c>
      <c r="J15" s="2" t="n">
        <v>9.5</v>
      </c>
      <c r="K15" s="2" t="inlineStr">
        <is>
          <t>中</t>
        </is>
      </c>
      <c r="L15" s="2" t="n">
        <v>8.199999999999999</v>
      </c>
      <c r="M15" s="2" t="n">
        <v>8.300000000000001</v>
      </c>
      <c r="N15" s="2" t="inlineStr">
        <is>
          <t>全年可游</t>
        </is>
      </c>
      <c r="O15" s="2" t="n">
        <v>9.199999999999999</v>
      </c>
      <c r="P15" s="2" t="inlineStr">
        <is>
          <t>5-10月,12月</t>
        </is>
      </c>
      <c r="Q15" s="2" t="inlineStr">
        <is>
          <t>文化</t>
        </is>
      </c>
      <c r="R15" s="2" t="n">
        <v>8.6</v>
      </c>
      <c r="S15" s="2" t="n">
        <v>8.5</v>
      </c>
      <c r="T15" s="2" t="n">
        <v>8.800000000000001</v>
      </c>
      <c r="U15" s="2" t="n">
        <v>8.199999999999999</v>
      </c>
      <c r="V15" s="2" t="inlineStr">
        <is>
          <t>4岁+</t>
        </is>
      </c>
      <c r="W15" s="2">
        <f>ROUND((D15*评分权重!$F$2+E15*评分权重!$F$3+F15*评分权重!$F$4+G15*评分权重!$F$5+H15*评分权重!$F$6+J15*评分权重!$F$7+L15*评分权重!$F$8+M15*评分权重!$F$9+O15*评分权重!$F$10+Y15*评分权重!$F$11+R15*评分权重!$F$12+S15*评分权重!$F$13+T15*评分权重!$F$14+U15*评分权重!$F$15)*10,1)</f>
        <v/>
      </c>
      <c r="X15" s="2" t="inlineStr">
        <is>
          <t>由《欧洲国际版5A式景区报告_2026》转表；综合分按权重表公式重算</t>
        </is>
      </c>
      <c r="Y15" s="2">
        <f>IFERROR(VLOOKUP(Q15,评分映射!$A$2:$B$10,2,FALSE),9)</f>
        <v/>
      </c>
    </row>
    <row r="16">
      <c r="A16" s="2" t="inlineStr">
        <is>
          <t>德国</t>
        </is>
      </c>
      <c r="B16" s="2" t="inlineStr">
        <is>
          <t>新天鹅堡</t>
        </is>
      </c>
      <c r="C16" s="2" t="inlineStr">
        <is>
          <t>新天鹅堡与阿尔卑斯前山</t>
        </is>
      </c>
      <c r="D16" s="2" t="n">
        <v>9.300000000000001</v>
      </c>
      <c r="E16" s="2" t="n">
        <v>8.4</v>
      </c>
      <c r="F16" s="2" t="n">
        <v>7</v>
      </c>
      <c r="G16" s="2" t="n">
        <v>9.5</v>
      </c>
      <c r="H16" s="2" t="n">
        <v>8.800000000000001</v>
      </c>
      <c r="I16" s="2" t="inlineStr">
        <is>
          <t>0.5-1天</t>
        </is>
      </c>
      <c r="J16" s="2" t="n">
        <v>10</v>
      </c>
      <c r="K16" s="2" t="inlineStr">
        <is>
          <t>中</t>
        </is>
      </c>
      <c r="L16" s="2" t="n">
        <v>8.199999999999999</v>
      </c>
      <c r="M16" s="2" t="n">
        <v>7.5</v>
      </c>
      <c r="N16" s="2" t="inlineStr">
        <is>
          <t>春夏秋佳</t>
        </is>
      </c>
      <c r="O16" s="2" t="n">
        <v>8.6</v>
      </c>
      <c r="P16" s="2" t="inlineStr">
        <is>
          <t>5-10月</t>
        </is>
      </c>
      <c r="Q16" s="2" t="inlineStr">
        <is>
          <t>独特/风景</t>
        </is>
      </c>
      <c r="R16" s="2" t="n">
        <v>8</v>
      </c>
      <c r="S16" s="2" t="n">
        <v>8</v>
      </c>
      <c r="T16" s="2" t="n">
        <v>8.699999999999999</v>
      </c>
      <c r="U16" s="2" t="n">
        <v>8.1</v>
      </c>
      <c r="V16" s="2" t="inlineStr">
        <is>
          <t>6岁+</t>
        </is>
      </c>
      <c r="W16" s="2">
        <f>ROUND((D16*评分权重!$F$2+E16*评分权重!$F$3+F16*评分权重!$F$4+G16*评分权重!$F$5+H16*评分权重!$F$6+J16*评分权重!$F$7+L16*评分权重!$F$8+M16*评分权重!$F$9+O16*评分权重!$F$10+Y16*评分权重!$F$11+R16*评分权重!$F$12+S16*评分权重!$F$13+T16*评分权重!$F$14+U16*评分权重!$F$15)*10,1)</f>
        <v/>
      </c>
      <c r="X16" s="2" t="inlineStr">
        <is>
          <t>由《欧洲国际版5A式景区报告_2026》转表；综合分按权重表公式重算</t>
        </is>
      </c>
      <c r="Y16" s="2">
        <f>IFERROR(VLOOKUP(Q16,评分映射!$A$2:$B$10,2,FALSE),9)</f>
        <v/>
      </c>
    </row>
    <row r="17">
      <c r="A17" s="2" t="inlineStr">
        <is>
          <t>德国</t>
        </is>
      </c>
      <c r="B17" s="2" t="inlineStr">
        <is>
          <t>柏林</t>
        </is>
      </c>
      <c r="C17" s="2" t="inlineStr">
        <is>
          <t>博物馆岛+历史中心</t>
        </is>
      </c>
      <c r="D17" s="2" t="n">
        <v>9</v>
      </c>
      <c r="E17" s="2" t="n">
        <v>7.9</v>
      </c>
      <c r="F17" s="2" t="n">
        <v>7.8</v>
      </c>
      <c r="G17" s="2" t="n">
        <v>8.800000000000001</v>
      </c>
      <c r="H17" s="2" t="n">
        <v>8.800000000000001</v>
      </c>
      <c r="I17" s="2" t="inlineStr">
        <is>
          <t>1-2天</t>
        </is>
      </c>
      <c r="J17" s="2" t="n">
        <v>9</v>
      </c>
      <c r="K17" s="2" t="inlineStr">
        <is>
          <t>中</t>
        </is>
      </c>
      <c r="L17" s="2" t="n">
        <v>8.199999999999999</v>
      </c>
      <c r="M17" s="2" t="n">
        <v>10</v>
      </c>
      <c r="N17" s="2" t="inlineStr">
        <is>
          <t>全年可游</t>
        </is>
      </c>
      <c r="O17" s="2" t="n">
        <v>9.199999999999999</v>
      </c>
      <c r="P17" s="2" t="inlineStr">
        <is>
          <t>5-10月,12月</t>
        </is>
      </c>
      <c r="Q17" s="2" t="inlineStr">
        <is>
          <t>文化</t>
        </is>
      </c>
      <c r="R17" s="2" t="n">
        <v>8.9</v>
      </c>
      <c r="S17" s="2" t="n">
        <v>8.6</v>
      </c>
      <c r="T17" s="2" t="n">
        <v>8.4</v>
      </c>
      <c r="U17" s="2" t="n">
        <v>8.1</v>
      </c>
      <c r="V17" s="2" t="inlineStr">
        <is>
          <t>7岁+</t>
        </is>
      </c>
      <c r="W17" s="2">
        <f>ROUND((D17*评分权重!$F$2+E17*评分权重!$F$3+F17*评分权重!$F$4+G17*评分权重!$F$5+H17*评分权重!$F$6+J17*评分权重!$F$7+L17*评分权重!$F$8+M17*评分权重!$F$9+O17*评分权重!$F$10+Y17*评分权重!$F$11+R17*评分权重!$F$12+S17*评分权重!$F$13+T17*评分权重!$F$14+U17*评分权重!$F$15)*10,1)</f>
        <v/>
      </c>
      <c r="X17" s="2" t="inlineStr">
        <is>
          <t>由《欧洲国际版5A式景区报告_2026》转表；综合分按权重表公式重算</t>
        </is>
      </c>
      <c r="Y17" s="2">
        <f>IFERROR(VLOOKUP(Q17,评分映射!$A$2:$B$10,2,FALSE),9)</f>
        <v/>
      </c>
    </row>
    <row r="18">
      <c r="A18" s="2" t="inlineStr">
        <is>
          <t>匈牙利</t>
        </is>
      </c>
      <c r="B18" s="2" t="inlineStr">
        <is>
          <t>布达佩斯</t>
        </is>
      </c>
      <c r="C18" s="2" t="inlineStr">
        <is>
          <t>多瑙河两岸+城堡山</t>
        </is>
      </c>
      <c r="D18" s="2" t="n">
        <v>9</v>
      </c>
      <c r="E18" s="2" t="n">
        <v>7.8</v>
      </c>
      <c r="F18" s="2" t="n">
        <v>7.2</v>
      </c>
      <c r="G18" s="2" t="n">
        <v>9.1</v>
      </c>
      <c r="H18" s="2" t="n">
        <v>8.800000000000001</v>
      </c>
      <c r="I18" s="2" t="inlineStr">
        <is>
          <t>1-2天</t>
        </is>
      </c>
      <c r="J18" s="2" t="n">
        <v>9</v>
      </c>
      <c r="K18" s="2" t="inlineStr">
        <is>
          <t>中低</t>
        </is>
      </c>
      <c r="L18" s="2" t="n">
        <v>8.699999999999999</v>
      </c>
      <c r="M18" s="2" t="n">
        <v>8.699999999999999</v>
      </c>
      <c r="N18" s="2" t="inlineStr">
        <is>
          <t>春秋最佳</t>
        </is>
      </c>
      <c r="O18" s="2" t="n">
        <v>8.800000000000001</v>
      </c>
      <c r="P18" s="2" t="inlineStr">
        <is>
          <t>4-6月,9-10月</t>
        </is>
      </c>
      <c r="Q18" s="2" t="inlineStr">
        <is>
          <t>文化/温泉</t>
        </is>
      </c>
      <c r="R18" s="2" t="n">
        <v>8.4</v>
      </c>
      <c r="S18" s="2" t="n">
        <v>9.1</v>
      </c>
      <c r="T18" s="2" t="n">
        <v>8</v>
      </c>
      <c r="U18" s="2" t="n">
        <v>7.8</v>
      </c>
      <c r="V18" s="2" t="inlineStr">
        <is>
          <t>6岁+</t>
        </is>
      </c>
      <c r="W18" s="2">
        <f>ROUND((D18*评分权重!$F$2+E18*评分权重!$F$3+F18*评分权重!$F$4+G18*评分权重!$F$5+H18*评分权重!$F$6+J18*评分权重!$F$7+L18*评分权重!$F$8+M18*评分权重!$F$9+O18*评分权重!$F$10+Y18*评分权重!$F$11+R18*评分权重!$F$12+S18*评分权重!$F$13+T18*评分权重!$F$14+U18*评分权重!$F$15)*10,1)</f>
        <v/>
      </c>
      <c r="X18" s="2" t="inlineStr">
        <is>
          <t>由《欧洲国际版5A式景区报告_2026》转表；综合分按权重表公式重算</t>
        </is>
      </c>
      <c r="Y18" s="2">
        <f>IFERROR(VLOOKUP(Q18,评分映射!$A$2:$B$10,2,FALSE),9)</f>
        <v/>
      </c>
    </row>
    <row r="19">
      <c r="A19" s="2" t="inlineStr">
        <is>
          <t>法国</t>
        </is>
      </c>
      <c r="B19" s="2" t="inlineStr">
        <is>
          <t>巴黎/凡尔赛</t>
        </is>
      </c>
      <c r="C19" s="2" t="inlineStr">
        <is>
          <t>凡尔赛宫</t>
        </is>
      </c>
      <c r="D19" s="2" t="n">
        <v>9.199999999999999</v>
      </c>
      <c r="E19" s="2" t="n">
        <v>7.8</v>
      </c>
      <c r="F19" s="2" t="n">
        <v>7.2</v>
      </c>
      <c r="G19" s="2" t="n">
        <v>9.199999999999999</v>
      </c>
      <c r="H19" s="2" t="n">
        <v>8</v>
      </c>
      <c r="I19" s="2" t="inlineStr">
        <is>
          <t>0.5-1天</t>
        </is>
      </c>
      <c r="J19" s="2" t="n">
        <v>10</v>
      </c>
      <c r="K19" s="2" t="inlineStr">
        <is>
          <t>中高</t>
        </is>
      </c>
      <c r="L19" s="2" t="n">
        <v>7.2</v>
      </c>
      <c r="M19" s="2" t="n">
        <v>10</v>
      </c>
      <c r="N19" s="2" t="inlineStr">
        <is>
          <t>春秋最佳</t>
        </is>
      </c>
      <c r="O19" s="2" t="n">
        <v>8.800000000000001</v>
      </c>
      <c r="P19" s="2" t="inlineStr">
        <is>
          <t>4-6月,9-10月</t>
        </is>
      </c>
      <c r="Q19" s="2" t="inlineStr">
        <is>
          <t>文化</t>
        </is>
      </c>
      <c r="R19" s="2" t="n">
        <v>9</v>
      </c>
      <c r="S19" s="2" t="n">
        <v>7.2</v>
      </c>
      <c r="T19" s="2" t="n">
        <v>8</v>
      </c>
      <c r="U19" s="2" t="n">
        <v>7.5</v>
      </c>
      <c r="V19" s="2" t="inlineStr">
        <is>
          <t>8岁+</t>
        </is>
      </c>
      <c r="W19" s="2">
        <f>ROUND((D19*评分权重!$F$2+E19*评分权重!$F$3+F19*评分权重!$F$4+G19*评分权重!$F$5+H19*评分权重!$F$6+J19*评分权重!$F$7+L19*评分权重!$F$8+M19*评分权重!$F$9+O19*评分权重!$F$10+Y19*评分权重!$F$11+R19*评分权重!$F$12+S19*评分权重!$F$13+T19*评分权重!$F$14+U19*评分权重!$F$15)*10,1)</f>
        <v/>
      </c>
      <c r="X19" s="2" t="inlineStr">
        <is>
          <t>由《欧洲国际版5A式景区报告_2026》转表；综合分按权重表公式重算</t>
        </is>
      </c>
      <c r="Y19" s="2">
        <f>IFERROR(VLOOKUP(Q19,评分映射!$A$2:$B$10,2,FALSE),9)</f>
        <v/>
      </c>
    </row>
    <row r="20">
      <c r="A20" s="2" t="inlineStr">
        <is>
          <t>意大利</t>
        </is>
      </c>
      <c r="B20" s="2" t="inlineStr">
        <is>
          <t>佛罗伦萨</t>
        </is>
      </c>
      <c r="C20" s="2" t="inlineStr">
        <is>
          <t>佛罗伦萨历史中心</t>
        </is>
      </c>
      <c r="D20" s="2" t="n">
        <v>9.199999999999999</v>
      </c>
      <c r="E20" s="2" t="n">
        <v>7.5</v>
      </c>
      <c r="F20" s="2" t="n">
        <v>7</v>
      </c>
      <c r="G20" s="2" t="n">
        <v>9.199999999999999</v>
      </c>
      <c r="H20" s="2" t="n">
        <v>8.800000000000001</v>
      </c>
      <c r="I20" s="2" t="inlineStr">
        <is>
          <t>1-2天</t>
        </is>
      </c>
      <c r="J20" s="2" t="n">
        <v>9</v>
      </c>
      <c r="K20" s="2" t="inlineStr">
        <is>
          <t>中</t>
        </is>
      </c>
      <c r="L20" s="2" t="n">
        <v>8.199999999999999</v>
      </c>
      <c r="M20" s="2" t="n">
        <v>9</v>
      </c>
      <c r="N20" s="2" t="inlineStr">
        <is>
          <t>春秋最佳</t>
        </is>
      </c>
      <c r="O20" s="2" t="n">
        <v>8.800000000000001</v>
      </c>
      <c r="P20" s="2" t="inlineStr">
        <is>
          <t>4-6月,9-10月</t>
        </is>
      </c>
      <c r="Q20" s="2" t="inlineStr">
        <is>
          <t>文化</t>
        </is>
      </c>
      <c r="R20" s="2" t="n">
        <v>8.800000000000001</v>
      </c>
      <c r="S20" s="2" t="n">
        <v>8.1</v>
      </c>
      <c r="T20" s="2" t="n">
        <v>8</v>
      </c>
      <c r="U20" s="2" t="n">
        <v>7.5</v>
      </c>
      <c r="V20" s="2" t="inlineStr">
        <is>
          <t>8岁+</t>
        </is>
      </c>
      <c r="W20" s="2">
        <f>ROUND((D20*评分权重!$F$2+E20*评分权重!$F$3+F20*评分权重!$F$4+G20*评分权重!$F$5+H20*评分权重!$F$6+J20*评分权重!$F$7+L20*评分权重!$F$8+M20*评分权重!$F$9+O20*评分权重!$F$10+Y20*评分权重!$F$11+R20*评分权重!$F$12+S20*评分权重!$F$13+T20*评分权重!$F$14+U20*评分权重!$F$15)*10,1)</f>
        <v/>
      </c>
      <c r="X20" s="2" t="inlineStr">
        <is>
          <t>由《欧洲国际版5A式景区报告_2026》转表；综合分按权重表公式重算</t>
        </is>
      </c>
      <c r="Y20" s="2">
        <f>IFERROR(VLOOKUP(Q20,评分映射!$A$2:$B$10,2,FALSE),9)</f>
        <v/>
      </c>
    </row>
    <row r="21">
      <c r="A21" s="2" t="inlineStr">
        <is>
          <t>西班牙</t>
        </is>
      </c>
      <c r="B21" s="2" t="inlineStr">
        <is>
          <t>格拉纳达</t>
        </is>
      </c>
      <c r="C21" s="2" t="inlineStr">
        <is>
          <t>阿尔罕布拉宫</t>
        </is>
      </c>
      <c r="D21" s="2" t="n">
        <v>9.300000000000001</v>
      </c>
      <c r="E21" s="2" t="n">
        <v>7.2</v>
      </c>
      <c r="F21" s="2" t="n">
        <v>6.8</v>
      </c>
      <c r="G21" s="2" t="n">
        <v>9.300000000000001</v>
      </c>
      <c r="H21" s="2" t="n">
        <v>8.4</v>
      </c>
      <c r="I21" s="2" t="inlineStr">
        <is>
          <t>0.5-1天</t>
        </is>
      </c>
      <c r="J21" s="2" t="n">
        <v>10</v>
      </c>
      <c r="K21" s="2" t="inlineStr">
        <is>
          <t>中</t>
        </is>
      </c>
      <c r="L21" s="2" t="n">
        <v>8.199999999999999</v>
      </c>
      <c r="M21" s="2" t="n">
        <v>8.5</v>
      </c>
      <c r="N21" s="2" t="inlineStr">
        <is>
          <t>春秋最佳</t>
        </is>
      </c>
      <c r="O21" s="2" t="n">
        <v>8.800000000000001</v>
      </c>
      <c r="P21" s="2" t="inlineStr">
        <is>
          <t>4-6月,9-10月</t>
        </is>
      </c>
      <c r="Q21" s="2" t="inlineStr">
        <is>
          <t>文化</t>
        </is>
      </c>
      <c r="R21" s="2" t="n">
        <v>8.5</v>
      </c>
      <c r="S21" s="2" t="n">
        <v>8.4</v>
      </c>
      <c r="T21" s="2" t="n">
        <v>8.4</v>
      </c>
      <c r="U21" s="2" t="n">
        <v>7.6</v>
      </c>
      <c r="V21" s="2" t="inlineStr">
        <is>
          <t>8岁+</t>
        </is>
      </c>
      <c r="W21" s="2">
        <f>ROUND((D21*评分权重!$F$2+E21*评分权重!$F$3+F21*评分权重!$F$4+G21*评分权重!$F$5+H21*评分权重!$F$6+J21*评分权重!$F$7+L21*评分权重!$F$8+M21*评分权重!$F$9+O21*评分权重!$F$10+Y21*评分权重!$F$11+R21*评分权重!$F$12+S21*评分权重!$F$13+T21*评分权重!$F$14+U21*评分权重!$F$15)*10,1)</f>
        <v/>
      </c>
      <c r="X21" s="2" t="inlineStr">
        <is>
          <t>由《欧洲国际版5A式景区报告_2026》转表；综合分按权重表公式重算</t>
        </is>
      </c>
      <c r="Y21" s="2">
        <f>IFERROR(VLOOKUP(Q21,评分映射!$A$2:$B$10,2,FALSE),9)</f>
        <v/>
      </c>
    </row>
    <row r="22">
      <c r="A22" s="2" t="inlineStr">
        <is>
          <t>英国</t>
        </is>
      </c>
      <c r="B22" s="2" t="inlineStr">
        <is>
          <t>爱丁堡</t>
        </is>
      </c>
      <c r="C22" s="2" t="inlineStr">
        <is>
          <t>爱丁堡旧城新城</t>
        </is>
      </c>
      <c r="D22" s="2" t="n">
        <v>9</v>
      </c>
      <c r="E22" s="2" t="n">
        <v>7.5</v>
      </c>
      <c r="F22" s="2" t="n">
        <v>7.2</v>
      </c>
      <c r="G22" s="2" t="n">
        <v>9</v>
      </c>
      <c r="H22" s="2" t="n">
        <v>8.9</v>
      </c>
      <c r="I22" s="2" t="inlineStr">
        <is>
          <t>1天</t>
        </is>
      </c>
      <c r="J22" s="2" t="n">
        <v>9.5</v>
      </c>
      <c r="K22" s="2" t="inlineStr">
        <is>
          <t>中</t>
        </is>
      </c>
      <c r="L22" s="2" t="n">
        <v>8.199999999999999</v>
      </c>
      <c r="M22" s="2" t="n">
        <v>8.699999999999999</v>
      </c>
      <c r="N22" s="2" t="inlineStr">
        <is>
          <t>夏秋最佳</t>
        </is>
      </c>
      <c r="O22" s="2" t="n">
        <v>8.4</v>
      </c>
      <c r="P22" s="2" t="inlineStr">
        <is>
          <t>5-9月</t>
        </is>
      </c>
      <c r="Q22" s="2" t="inlineStr">
        <is>
          <t>文化/独特</t>
        </is>
      </c>
      <c r="R22" s="2" t="n">
        <v>8.5</v>
      </c>
      <c r="S22" s="2" t="n">
        <v>8</v>
      </c>
      <c r="T22" s="2" t="n">
        <v>8.4</v>
      </c>
      <c r="U22" s="2" t="n">
        <v>8</v>
      </c>
      <c r="V22" s="2" t="inlineStr">
        <is>
          <t>7岁+</t>
        </is>
      </c>
      <c r="W22" s="2">
        <f>ROUND((D22*评分权重!$F$2+E22*评分权重!$F$3+F22*评分权重!$F$4+G22*评分权重!$F$5+H22*评分权重!$F$6+J22*评分权重!$F$7+L22*评分权重!$F$8+M22*评分权重!$F$9+O22*评分权重!$F$10+Y22*评分权重!$F$11+R22*评分权重!$F$12+S22*评分权重!$F$13+T22*评分权重!$F$14+U22*评分权重!$F$15)*10,1)</f>
        <v/>
      </c>
      <c r="X22" s="2" t="inlineStr">
        <is>
          <t>由《欧洲国际版5A式景区报告_2026》转表；综合分按权重表公式重算</t>
        </is>
      </c>
      <c r="Y22" s="2">
        <f>IFERROR(VLOOKUP(Q22,评分映射!$A$2:$B$10,2,FALSE),9)</f>
        <v/>
      </c>
    </row>
    <row r="23">
      <c r="A23" s="2" t="inlineStr">
        <is>
          <t>希腊</t>
        </is>
      </c>
      <c r="B23" s="2" t="inlineStr">
        <is>
          <t>雅典</t>
        </is>
      </c>
      <c r="C23" s="2" t="inlineStr">
        <is>
          <t>雅典卫城</t>
        </is>
      </c>
      <c r="D23" s="2" t="n">
        <v>9.4</v>
      </c>
      <c r="E23" s="2" t="n">
        <v>7.2</v>
      </c>
      <c r="F23" s="2" t="n">
        <v>6.5</v>
      </c>
      <c r="G23" s="2" t="n">
        <v>9.1</v>
      </c>
      <c r="H23" s="2" t="n">
        <v>8.699999999999999</v>
      </c>
      <c r="I23" s="2" t="inlineStr">
        <is>
          <t>0.5-1天</t>
        </is>
      </c>
      <c r="J23" s="2" t="n">
        <v>10</v>
      </c>
      <c r="K23" s="2" t="inlineStr">
        <is>
          <t>中</t>
        </is>
      </c>
      <c r="L23" s="2" t="n">
        <v>8.199999999999999</v>
      </c>
      <c r="M23" s="2" t="n">
        <v>9.199999999999999</v>
      </c>
      <c r="N23" s="2" t="inlineStr">
        <is>
          <t>春秋最佳</t>
        </is>
      </c>
      <c r="O23" s="2" t="n">
        <v>8.800000000000001</v>
      </c>
      <c r="P23" s="2" t="inlineStr">
        <is>
          <t>3-5月,9-11月</t>
        </is>
      </c>
      <c r="Q23" s="2" t="inlineStr">
        <is>
          <t>文化/独特</t>
        </is>
      </c>
      <c r="R23" s="2" t="n">
        <v>8</v>
      </c>
      <c r="S23" s="2" t="n">
        <v>8.5</v>
      </c>
      <c r="T23" s="2" t="n">
        <v>8</v>
      </c>
      <c r="U23" s="2" t="n">
        <v>7.6</v>
      </c>
      <c r="V23" s="2" t="inlineStr">
        <is>
          <t>8岁+</t>
        </is>
      </c>
      <c r="W23" s="2">
        <f>ROUND((D23*评分权重!$F$2+E23*评分权重!$F$3+F23*评分权重!$F$4+G23*评分权重!$F$5+H23*评分权重!$F$6+J23*评分权重!$F$7+L23*评分权重!$F$8+M23*评分权重!$F$9+O23*评分权重!$F$10+Y23*评分权重!$F$11+R23*评分权重!$F$12+S23*评分权重!$F$13+T23*评分权重!$F$14+U23*评分权重!$F$15)*10,1)</f>
        <v/>
      </c>
      <c r="X23" s="2" t="inlineStr">
        <is>
          <t>由《欧洲国际版5A式景区报告_2026》转表；综合分按权重表公式重算</t>
        </is>
      </c>
      <c r="Y23" s="2">
        <f>IFERROR(VLOOKUP(Q23,评分映射!$A$2:$B$10,2,FALSE),9)</f>
        <v/>
      </c>
    </row>
    <row r="24">
      <c r="A24" s="2" t="inlineStr">
        <is>
          <t>比利时</t>
        </is>
      </c>
      <c r="B24" s="2" t="inlineStr">
        <is>
          <t>布鲁日</t>
        </is>
      </c>
      <c r="C24" s="2" t="inlineStr">
        <is>
          <t>布鲁日历史中心</t>
        </is>
      </c>
      <c r="D24" s="2" t="n">
        <v>8.800000000000001</v>
      </c>
      <c r="E24" s="2" t="n">
        <v>8</v>
      </c>
      <c r="F24" s="2" t="n">
        <v>7.9</v>
      </c>
      <c r="G24" s="2" t="n">
        <v>9</v>
      </c>
      <c r="H24" s="2" t="n">
        <v>8.699999999999999</v>
      </c>
      <c r="I24" s="2" t="inlineStr">
        <is>
          <t>1天</t>
        </is>
      </c>
      <c r="J24" s="2" t="n">
        <v>9.5</v>
      </c>
      <c r="K24" s="2" t="inlineStr">
        <is>
          <t>中</t>
        </is>
      </c>
      <c r="L24" s="2" t="n">
        <v>8.199999999999999</v>
      </c>
      <c r="M24" s="2" t="n">
        <v>8.800000000000001</v>
      </c>
      <c r="N24" s="2" t="inlineStr">
        <is>
          <t>春夏秋佳</t>
        </is>
      </c>
      <c r="O24" s="2" t="n">
        <v>8.6</v>
      </c>
      <c r="P24" s="2" t="inlineStr">
        <is>
          <t>4-10月</t>
        </is>
      </c>
      <c r="Q24" s="2" t="inlineStr">
        <is>
          <t>文化</t>
        </is>
      </c>
      <c r="R24" s="2" t="n">
        <v>8.199999999999999</v>
      </c>
      <c r="S24" s="2" t="n">
        <v>8.199999999999999</v>
      </c>
      <c r="T24" s="2" t="n">
        <v>8.6</v>
      </c>
      <c r="U24" s="2" t="n">
        <v>8</v>
      </c>
      <c r="V24" s="2" t="inlineStr">
        <is>
          <t>5岁+</t>
        </is>
      </c>
      <c r="W24" s="2">
        <f>ROUND((D24*评分权重!$F$2+E24*评分权重!$F$3+F24*评分权重!$F$4+G24*评分权重!$F$5+H24*评分权重!$F$6+J24*评分权重!$F$7+L24*评分权重!$F$8+M24*评分权重!$F$9+O24*评分权重!$F$10+Y24*评分权重!$F$11+R24*评分权重!$F$12+S24*评分权重!$F$13+T24*评分权重!$F$14+U24*评分权重!$F$15)*10,1)</f>
        <v/>
      </c>
      <c r="X24" s="2" t="inlineStr">
        <is>
          <t>由《欧洲国际版5A式景区报告_2026》转表；综合分按权重表公式重算</t>
        </is>
      </c>
      <c r="Y24" s="2">
        <f>IFERROR(VLOOKUP(Q24,评分映射!$A$2:$B$10,2,FALSE),9)</f>
        <v/>
      </c>
    </row>
    <row r="25">
      <c r="A25" s="2" t="inlineStr">
        <is>
          <t>法国</t>
        </is>
      </c>
      <c r="B25" s="2" t="inlineStr">
        <is>
          <t>诺曼底</t>
        </is>
      </c>
      <c r="C25" s="2" t="inlineStr">
        <is>
          <t>圣米歇尔山</t>
        </is>
      </c>
      <c r="D25" s="2" t="n">
        <v>9.1</v>
      </c>
      <c r="E25" s="2" t="n">
        <v>7</v>
      </c>
      <c r="F25" s="2" t="n">
        <v>6.8</v>
      </c>
      <c r="G25" s="2" t="n">
        <v>9.4</v>
      </c>
      <c r="H25" s="2" t="n">
        <v>8.199999999999999</v>
      </c>
      <c r="I25" s="2" t="inlineStr">
        <is>
          <t>0.5-1天</t>
        </is>
      </c>
      <c r="J25" s="2" t="n">
        <v>10</v>
      </c>
      <c r="K25" s="2" t="inlineStr">
        <is>
          <t>中</t>
        </is>
      </c>
      <c r="L25" s="2" t="n">
        <v>8.199999999999999</v>
      </c>
      <c r="M25" s="2" t="n">
        <v>7.5</v>
      </c>
      <c r="N25" s="2" t="inlineStr">
        <is>
          <t>春夏秋佳</t>
        </is>
      </c>
      <c r="O25" s="2" t="n">
        <v>8.6</v>
      </c>
      <c r="P25" s="2" t="inlineStr">
        <is>
          <t>5-10月</t>
        </is>
      </c>
      <c r="Q25" s="2" t="inlineStr">
        <is>
          <t>文化/独特</t>
        </is>
      </c>
      <c r="R25" s="2" t="n">
        <v>7.8</v>
      </c>
      <c r="S25" s="2" t="n">
        <v>8.1</v>
      </c>
      <c r="T25" s="2" t="n">
        <v>8.4</v>
      </c>
      <c r="U25" s="2" t="n">
        <v>8</v>
      </c>
      <c r="V25" s="2" t="inlineStr">
        <is>
          <t>8岁+</t>
        </is>
      </c>
      <c r="W25" s="2">
        <f>ROUND((D25*评分权重!$F$2+E25*评分权重!$F$3+F25*评分权重!$F$4+G25*评分权重!$F$5+H25*评分权重!$F$6+J25*评分权重!$F$7+L25*评分权重!$F$8+M25*评分权重!$F$9+O25*评分权重!$F$10+Y25*评分权重!$F$11+R25*评分权重!$F$12+S25*评分权重!$F$13+T25*评分权重!$F$14+U25*评分权重!$F$15)*10,1)</f>
        <v/>
      </c>
      <c r="X25" s="2" t="inlineStr">
        <is>
          <t>由《欧洲国际版5A式景区报告_2026》转表；综合分按权重表公式重算</t>
        </is>
      </c>
      <c r="Y25" s="2">
        <f>IFERROR(VLOOKUP(Q25,评分映射!$A$2:$B$10,2,FALSE),9)</f>
        <v/>
      </c>
    </row>
    <row r="26">
      <c r="A26" s="2" t="inlineStr">
        <is>
          <t>意大利</t>
        </is>
      </c>
      <c r="B26" s="2" t="inlineStr">
        <is>
          <t>威尼斯</t>
        </is>
      </c>
      <c r="C26" s="2" t="inlineStr">
        <is>
          <t>威尼斯历史城区</t>
        </is>
      </c>
      <c r="D26" s="2" t="n">
        <v>9.300000000000001</v>
      </c>
      <c r="E26" s="2" t="n">
        <v>7</v>
      </c>
      <c r="F26" s="2" t="n">
        <v>6</v>
      </c>
      <c r="G26" s="2" t="n">
        <v>9.5</v>
      </c>
      <c r="H26" s="2" t="n">
        <v>8.699999999999999</v>
      </c>
      <c r="I26" s="2" t="inlineStr">
        <is>
          <t>1-2天</t>
        </is>
      </c>
      <c r="J26" s="2" t="n">
        <v>9</v>
      </c>
      <c r="K26" s="2" t="inlineStr">
        <is>
          <t>中高</t>
        </is>
      </c>
      <c r="L26" s="2" t="n">
        <v>7.2</v>
      </c>
      <c r="M26" s="2" t="n">
        <v>8.5</v>
      </c>
      <c r="N26" s="2" t="inlineStr">
        <is>
          <t>春秋最佳</t>
        </is>
      </c>
      <c r="O26" s="2" t="n">
        <v>8.800000000000001</v>
      </c>
      <c r="P26" s="2" t="inlineStr">
        <is>
          <t>4-6月,9-10月</t>
        </is>
      </c>
      <c r="Q26" s="2" t="inlineStr">
        <is>
          <t>文化/独特</t>
        </is>
      </c>
      <c r="R26" s="2" t="n">
        <v>8.199999999999999</v>
      </c>
      <c r="S26" s="2" t="n">
        <v>7</v>
      </c>
      <c r="T26" s="2" t="n">
        <v>7.7</v>
      </c>
      <c r="U26" s="2" t="n">
        <v>7</v>
      </c>
      <c r="V26" s="2" t="inlineStr">
        <is>
          <t>10岁+</t>
        </is>
      </c>
      <c r="W26" s="2">
        <f>ROUND((D26*评分权重!$F$2+E26*评分权重!$F$3+F26*评分权重!$F$4+G26*评分权重!$F$5+H26*评分权重!$F$6+J26*评分权重!$F$7+L26*评分权重!$F$8+M26*评分权重!$F$9+O26*评分权重!$F$10+Y26*评分权重!$F$11+R26*评分权重!$F$12+S26*评分权重!$F$13+T26*评分权重!$F$14+U26*评分权重!$F$15)*10,1)</f>
        <v/>
      </c>
      <c r="X26" s="2" t="inlineStr">
        <is>
          <t>由《欧洲国际版5A式景区报告_2026》转表；综合分按权重表公式重算</t>
        </is>
      </c>
      <c r="Y26" s="2">
        <f>IFERROR(VLOOKUP(Q26,评分映射!$A$2:$B$10,2,FALSE),9)</f>
        <v/>
      </c>
    </row>
    <row r="27">
      <c r="A27" s="2" t="inlineStr">
        <is>
          <t>西班牙</t>
        </is>
      </c>
      <c r="B27" s="2" t="inlineStr">
        <is>
          <t>塞维利亚</t>
        </is>
      </c>
      <c r="C27" s="2" t="inlineStr">
        <is>
          <t>塞维利亚王宫-老城</t>
        </is>
      </c>
      <c r="D27" s="2" t="n">
        <v>9</v>
      </c>
      <c r="E27" s="2" t="n">
        <v>7.5</v>
      </c>
      <c r="F27" s="2" t="n">
        <v>7</v>
      </c>
      <c r="G27" s="2" t="n">
        <v>9.1</v>
      </c>
      <c r="H27" s="2" t="n">
        <v>8.6</v>
      </c>
      <c r="I27" s="2" t="inlineStr">
        <is>
          <t>1天</t>
        </is>
      </c>
      <c r="J27" s="2" t="n">
        <v>9.5</v>
      </c>
      <c r="K27" s="2" t="inlineStr">
        <is>
          <t>中</t>
        </is>
      </c>
      <c r="L27" s="2" t="n">
        <v>8.199999999999999</v>
      </c>
      <c r="M27" s="2" t="n">
        <v>8.5</v>
      </c>
      <c r="N27" s="2" t="inlineStr">
        <is>
          <t>避开酷暑</t>
        </is>
      </c>
      <c r="O27" s="2" t="n">
        <v>8.300000000000001</v>
      </c>
      <c r="P27" s="2" t="inlineStr">
        <is>
          <t>3-5月,10-11月</t>
        </is>
      </c>
      <c r="Q27" s="2" t="inlineStr">
        <is>
          <t>文化</t>
        </is>
      </c>
      <c r="R27" s="2" t="n">
        <v>8.300000000000001</v>
      </c>
      <c r="S27" s="2" t="n">
        <v>8.5</v>
      </c>
      <c r="T27" s="2" t="n">
        <v>8.300000000000001</v>
      </c>
      <c r="U27" s="2" t="n">
        <v>7.7</v>
      </c>
      <c r="V27" s="2" t="inlineStr">
        <is>
          <t>6岁+</t>
        </is>
      </c>
      <c r="W27" s="2">
        <f>ROUND((D27*评分权重!$F$2+E27*评分权重!$F$3+F27*评分权重!$F$4+G27*评分权重!$F$5+H27*评分权重!$F$6+J27*评分权重!$F$7+L27*评分权重!$F$8+M27*评分权重!$F$9+O27*评分权重!$F$10+Y27*评分权重!$F$11+R27*评分权重!$F$12+S27*评分权重!$F$13+T27*评分权重!$F$14+U27*评分权重!$F$15)*10,1)</f>
        <v/>
      </c>
      <c r="X27" s="2" t="inlineStr">
        <is>
          <t>由《欧洲国际版5A式景区报告_2026》转表；综合分按权重表公式重算</t>
        </is>
      </c>
      <c r="Y27" s="2">
        <f>IFERROR(VLOOKUP(Q27,评分映射!$A$2:$B$10,2,FALSE),9)</f>
        <v/>
      </c>
    </row>
    <row r="28">
      <c r="A28" s="2" t="inlineStr">
        <is>
          <t>德国</t>
        </is>
      </c>
      <c r="B28" s="2" t="inlineStr">
        <is>
          <t>科隆</t>
        </is>
      </c>
      <c r="C28" s="2" t="inlineStr">
        <is>
          <t>科隆大教堂</t>
        </is>
      </c>
      <c r="D28" s="2" t="n">
        <v>8.800000000000001</v>
      </c>
      <c r="E28" s="2" t="n">
        <v>7.2</v>
      </c>
      <c r="F28" s="2" t="n">
        <v>7.5</v>
      </c>
      <c r="G28" s="2" t="n">
        <v>8.800000000000001</v>
      </c>
      <c r="H28" s="2" t="n">
        <v>8.6</v>
      </c>
      <c r="I28" s="2" t="inlineStr">
        <is>
          <t>半天</t>
        </is>
      </c>
      <c r="J28" s="2" t="n">
        <v>8</v>
      </c>
      <c r="K28" s="2" t="inlineStr">
        <is>
          <t>中</t>
        </is>
      </c>
      <c r="L28" s="2" t="n">
        <v>8.199999999999999</v>
      </c>
      <c r="M28" s="2" t="n">
        <v>9.5</v>
      </c>
      <c r="N28" s="2" t="inlineStr">
        <is>
          <t>全年可游</t>
        </is>
      </c>
      <c r="O28" s="2" t="n">
        <v>9.199999999999999</v>
      </c>
      <c r="P28" s="2" t="inlineStr">
        <is>
          <t>4-10月,12月</t>
        </is>
      </c>
      <c r="Q28" s="2" t="inlineStr">
        <is>
          <t>文化</t>
        </is>
      </c>
      <c r="R28" s="2" t="n">
        <v>8.699999999999999</v>
      </c>
      <c r="S28" s="2" t="n">
        <v>8.800000000000001</v>
      </c>
      <c r="T28" s="2" t="n">
        <v>8.4</v>
      </c>
      <c r="U28" s="2" t="n">
        <v>8</v>
      </c>
      <c r="V28" s="2" t="inlineStr">
        <is>
          <t>6岁+</t>
        </is>
      </c>
      <c r="W28" s="2">
        <f>ROUND((D28*评分权重!$F$2+E28*评分权重!$F$3+F28*评分权重!$F$4+G28*评分权重!$F$5+H28*评分权重!$F$6+J28*评分权重!$F$7+L28*评分权重!$F$8+M28*评分权重!$F$9+O28*评分权重!$F$10+Y28*评分权重!$F$11+R28*评分权重!$F$12+S28*评分权重!$F$13+T28*评分权重!$F$14+U28*评分权重!$F$15)*10,1)</f>
        <v/>
      </c>
      <c r="X28" s="2" t="inlineStr">
        <is>
          <t>由《欧洲国际版5A式景区报告_2026》转表；综合分按权重表公式重算</t>
        </is>
      </c>
      <c r="Y28" s="2">
        <f>IFERROR(VLOOKUP(Q28,评分映射!$A$2:$B$10,2,FALSE),9)</f>
        <v/>
      </c>
    </row>
    <row r="29">
      <c r="A29" s="2" t="inlineStr">
        <is>
          <t>冰岛</t>
        </is>
      </c>
      <c r="B29" s="2" t="inlineStr">
        <is>
          <t>雷克雅未克/南岸</t>
        </is>
      </c>
      <c r="C29" s="2" t="inlineStr">
        <is>
          <t>黄金圈+南岸瀑布黑沙滩</t>
        </is>
      </c>
      <c r="D29" s="2" t="n">
        <v>9.4</v>
      </c>
      <c r="E29" s="2" t="n">
        <v>8.1</v>
      </c>
      <c r="F29" s="2" t="n">
        <v>7</v>
      </c>
      <c r="G29" s="2" t="n">
        <v>9.300000000000001</v>
      </c>
      <c r="H29" s="2" t="n">
        <v>9.199999999999999</v>
      </c>
      <c r="I29" s="2" t="inlineStr">
        <is>
          <t>2-3天</t>
        </is>
      </c>
      <c r="J29" s="2" t="n">
        <v>7.5</v>
      </c>
      <c r="K29" s="2" t="inlineStr">
        <is>
          <t>高</t>
        </is>
      </c>
      <c r="L29" s="2" t="n">
        <v>6.2</v>
      </c>
      <c r="M29" s="2" t="n">
        <v>6.5</v>
      </c>
      <c r="N29" s="2" t="inlineStr">
        <is>
          <t>夏季/极光季</t>
        </is>
      </c>
      <c r="O29" s="2" t="n">
        <v>8.300000000000001</v>
      </c>
      <c r="P29" s="2" t="inlineStr">
        <is>
          <t>6-8月,10-3月</t>
        </is>
      </c>
      <c r="Q29" s="2" t="inlineStr">
        <is>
          <t>生态/独特</t>
        </is>
      </c>
      <c r="R29" s="2" t="n">
        <v>8</v>
      </c>
      <c r="S29" s="2" t="n">
        <v>6.3</v>
      </c>
      <c r="T29" s="2" t="n">
        <v>8.9</v>
      </c>
      <c r="U29" s="2" t="n">
        <v>7.8</v>
      </c>
      <c r="V29" s="2" t="inlineStr">
        <is>
          <t>8岁+</t>
        </is>
      </c>
      <c r="W29" s="2">
        <f>ROUND((D29*评分权重!$F$2+E29*评分权重!$F$3+F29*评分权重!$F$4+G29*评分权重!$F$5+H29*评分权重!$F$6+J29*评分权重!$F$7+L29*评分权重!$F$8+M29*评分权重!$F$9+O29*评分权重!$F$10+Y29*评分权重!$F$11+R29*评分权重!$F$12+S29*评分权重!$F$13+T29*评分权重!$F$14+U29*评分权重!$F$15)*10,1)</f>
        <v/>
      </c>
      <c r="X29" s="2" t="inlineStr">
        <is>
          <t>由《欧洲国际版5A式景区报告_2026》转表；综合分按权重表公式重算</t>
        </is>
      </c>
      <c r="Y29" s="2">
        <f>IFERROR(VLOOKUP(Q29,评分映射!$A$2:$B$10,2,FALSE),9)</f>
        <v/>
      </c>
    </row>
    <row r="30">
      <c r="A30" s="2" t="inlineStr">
        <is>
          <t>克罗地亚</t>
        </is>
      </c>
      <c r="B30" s="2" t="inlineStr">
        <is>
          <t>杜布罗夫尼克</t>
        </is>
      </c>
      <c r="C30" s="2" t="inlineStr">
        <is>
          <t>杜城古城墙</t>
        </is>
      </c>
      <c r="D30" s="2" t="n">
        <v>9.1</v>
      </c>
      <c r="E30" s="2" t="n">
        <v>7</v>
      </c>
      <c r="F30" s="2" t="n">
        <v>6.5</v>
      </c>
      <c r="G30" s="2" t="n">
        <v>9.4</v>
      </c>
      <c r="H30" s="2" t="n">
        <v>8.6</v>
      </c>
      <c r="I30" s="2" t="inlineStr">
        <is>
          <t>1天</t>
        </is>
      </c>
      <c r="J30" s="2" t="n">
        <v>9.5</v>
      </c>
      <c r="K30" s="2" t="inlineStr">
        <is>
          <t>中高</t>
        </is>
      </c>
      <c r="L30" s="2" t="n">
        <v>7.2</v>
      </c>
      <c r="M30" s="2" t="n">
        <v>7</v>
      </c>
      <c r="N30" s="2" t="inlineStr">
        <is>
          <t>春夏秋佳</t>
        </is>
      </c>
      <c r="O30" s="2" t="n">
        <v>8.6</v>
      </c>
      <c r="P30" s="2" t="inlineStr">
        <is>
          <t>5-10月</t>
        </is>
      </c>
      <c r="Q30" s="2" t="inlineStr">
        <is>
          <t>文化/海景</t>
        </is>
      </c>
      <c r="R30" s="2" t="n">
        <v>7.8</v>
      </c>
      <c r="S30" s="2" t="n">
        <v>7</v>
      </c>
      <c r="T30" s="2" t="n">
        <v>8.1</v>
      </c>
      <c r="U30" s="2" t="n">
        <v>7.5</v>
      </c>
      <c r="V30" s="2" t="inlineStr">
        <is>
          <t>8岁+</t>
        </is>
      </c>
      <c r="W30" s="2">
        <f>ROUND((D30*评分权重!$F$2+E30*评分权重!$F$3+F30*评分权重!$F$4+G30*评分权重!$F$5+H30*评分权重!$F$6+J30*评分权重!$F$7+L30*评分权重!$F$8+M30*评分权重!$F$9+O30*评分权重!$F$10+Y30*评分权重!$F$11+R30*评分权重!$F$12+S30*评分权重!$F$13+T30*评分权重!$F$14+U30*评分权重!$F$15)*10,1)</f>
        <v/>
      </c>
      <c r="X30" s="2" t="inlineStr">
        <is>
          <t>由《欧洲国际版5A式景区报告_2026》转表；综合分按权重表公式重算</t>
        </is>
      </c>
      <c r="Y30" s="2">
        <f>IFERROR(VLOOKUP(Q30,评分映射!$A$2:$B$10,2,FALSE),9)</f>
        <v/>
      </c>
    </row>
    <row r="31">
      <c r="A31" s="2" t="inlineStr">
        <is>
          <t>希腊</t>
        </is>
      </c>
      <c r="B31" s="2" t="inlineStr">
        <is>
          <t>圣托里尼</t>
        </is>
      </c>
      <c r="C31" s="2" t="inlineStr">
        <is>
          <t>伊亚-火山海景线</t>
        </is>
      </c>
      <c r="D31" s="2" t="n">
        <v>9.1</v>
      </c>
      <c r="E31" s="2" t="n">
        <v>6.5</v>
      </c>
      <c r="F31" s="2" t="n">
        <v>5.8</v>
      </c>
      <c r="G31" s="2" t="n">
        <v>9.699999999999999</v>
      </c>
      <c r="H31" s="2" t="n">
        <v>8.800000000000001</v>
      </c>
      <c r="I31" s="2" t="inlineStr">
        <is>
          <t>1-2天</t>
        </is>
      </c>
      <c r="J31" s="2" t="n">
        <v>9</v>
      </c>
      <c r="K31" s="2" t="inlineStr">
        <is>
          <t>中高</t>
        </is>
      </c>
      <c r="L31" s="2" t="n">
        <v>7.2</v>
      </c>
      <c r="M31" s="2" t="n">
        <v>7.2</v>
      </c>
      <c r="N31" s="2" t="inlineStr">
        <is>
          <t>春夏秋佳</t>
        </is>
      </c>
      <c r="O31" s="2" t="n">
        <v>8.6</v>
      </c>
      <c r="P31" s="2" t="inlineStr">
        <is>
          <t>5-10月</t>
        </is>
      </c>
      <c r="Q31" s="2" t="inlineStr">
        <is>
          <t>风景/独特</t>
        </is>
      </c>
      <c r="R31" s="2" t="n">
        <v>7.8</v>
      </c>
      <c r="S31" s="2" t="n">
        <v>6.8</v>
      </c>
      <c r="T31" s="2" t="n">
        <v>7.8</v>
      </c>
      <c r="U31" s="2" t="n">
        <v>7</v>
      </c>
      <c r="V31" s="2" t="inlineStr">
        <is>
          <t>10岁+</t>
        </is>
      </c>
      <c r="W31" s="2">
        <f>ROUND((D31*评分权重!$F$2+E31*评分权重!$F$3+F31*评分权重!$F$4+G31*评分权重!$F$5+H31*评分权重!$F$6+J31*评分权重!$F$7+L31*评分权重!$F$8+M31*评分权重!$F$9+O31*评分权重!$F$10+Y31*评分权重!$F$11+R31*评分权重!$F$12+S31*评分权重!$F$13+T31*评分权重!$F$14+U31*评分权重!$F$15)*10,1)</f>
        <v/>
      </c>
      <c r="X31" s="2" t="inlineStr">
        <is>
          <t>由《欧洲国际版5A式景区报告_2026》转表；综合分按权重表公式重算</t>
        </is>
      </c>
      <c r="Y31" s="2">
        <f>IFERROR(VLOOKUP(Q31,评分映射!$A$2:$B$10,2,FALSE),9)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2026-04-11T15:38:44Z</dcterms:created>
  <dcterms:modified xmlns:dcterms="http://purl.org/dc/terms/" xmlns:xsi="http://www.w3.org/2001/XMLSchema-instance" xsi:type="dcterms:W3CDTF">2026-04-11T15:39:24Z</dcterms:modified>
</cp:coreProperties>
</file>