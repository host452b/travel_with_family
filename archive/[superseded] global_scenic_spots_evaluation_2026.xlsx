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全球景区综合评估" sheetId="1" state="visible" r:id="rId3"/>
    <sheet name="各国统计汇总" sheetId="2" state="visible" r:id="rId4"/>
    <sheet name="评分说明与签证指南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<sst xmlns="http://schemas.openxmlformats.org/spreadsheetml/2006/main" count="1877" uniqueCount="814">
  <si>
    <r>
      <rPr>
        <b val="true"/>
        <sz val="13"/>
        <color rgb="FF1F4E79"/>
        <rFont val="Noto Sans CJK SC"/>
        <family val="2"/>
      </rPr>
      <t xml:space="preserve">全球顶级景区综合量化评估（澳新</t>
    </r>
    <r>
      <rPr>
        <b val="true"/>
        <sz val="13"/>
        <color rgb="FF1F4E79"/>
        <rFont val="Arial"/>
        <family val="0"/>
        <charset val="1"/>
      </rPr>
      <t xml:space="preserve">·</t>
    </r>
    <r>
      <rPr>
        <b val="true"/>
        <sz val="13"/>
        <color rgb="FF1F4E79"/>
        <rFont val="Noto Sans CJK SC"/>
        <family val="2"/>
      </rPr>
      <t xml:space="preserve">西亚</t>
    </r>
    <r>
      <rPr>
        <b val="true"/>
        <sz val="13"/>
        <color rgb="FF1F4E79"/>
        <rFont val="Arial"/>
        <family val="0"/>
        <charset val="1"/>
      </rPr>
      <t xml:space="preserve">·</t>
    </r>
    <r>
      <rPr>
        <b val="true"/>
        <sz val="13"/>
        <color rgb="FF1F4E79"/>
        <rFont val="Noto Sans CJK SC"/>
        <family val="2"/>
      </rPr>
      <t xml:space="preserve">中亚</t>
    </r>
    <r>
      <rPr>
        <b val="true"/>
        <sz val="13"/>
        <color rgb="FF1F4E79"/>
        <rFont val="Arial"/>
        <family val="0"/>
        <charset val="1"/>
      </rPr>
      <t xml:space="preserve">·</t>
    </r>
    <r>
      <rPr>
        <b val="true"/>
        <sz val="13"/>
        <color rgb="FF1F4E79"/>
        <rFont val="Noto Sans CJK SC"/>
        <family val="2"/>
      </rPr>
      <t xml:space="preserve">东欧</t>
    </r>
    <r>
      <rPr>
        <b val="true"/>
        <sz val="13"/>
        <color rgb="FF1F4E79"/>
        <rFont val="Arial"/>
        <family val="0"/>
        <charset val="1"/>
      </rPr>
      <t xml:space="preserve">·</t>
    </r>
    <r>
      <rPr>
        <b val="true"/>
        <sz val="13"/>
        <color rgb="FF1F4E79"/>
        <rFont val="Noto Sans CJK SC"/>
        <family val="2"/>
      </rPr>
      <t xml:space="preserve">东南亚</t>
    </r>
    <r>
      <rPr>
        <b val="true"/>
        <sz val="13"/>
        <color rgb="FF1F4E79"/>
        <rFont val="Arial"/>
        <family val="0"/>
        <charset val="1"/>
      </rPr>
      <t xml:space="preserve">·</t>
    </r>
    <r>
      <rPr>
        <b val="true"/>
        <sz val="13"/>
        <color rgb="FF1F4E79"/>
        <rFont val="Noto Sans CJK SC"/>
        <family val="2"/>
      </rPr>
      <t xml:space="preserve">东亚 </t>
    </r>
    <r>
      <rPr>
        <b val="true"/>
        <sz val="13"/>
        <color rgb="FF1F4E79"/>
        <rFont val="Arial"/>
        <family val="0"/>
        <charset val="1"/>
      </rPr>
      <t xml:space="preserve">| </t>
    </r>
    <r>
      <rPr>
        <b val="true"/>
        <sz val="13"/>
        <color rgb="FF1F4E79"/>
        <rFont val="Noto Sans CJK SC"/>
        <family val="2"/>
      </rPr>
      <t xml:space="preserve">中国公民签证友好版）</t>
    </r>
  </si>
  <si>
    <r>
      <rPr>
        <sz val="9"/>
        <color rgb="FF666666"/>
        <rFont val="Noto Sans CJK SC"/>
        <family val="2"/>
      </rPr>
      <t xml:space="preserve">共收录 </t>
    </r>
    <r>
      <rPr>
        <sz val="9"/>
        <color rgb="FF666666"/>
        <rFont val="Arial"/>
        <family val="0"/>
        <charset val="1"/>
      </rPr>
      <t xml:space="preserve">186 </t>
    </r>
    <r>
      <rPr>
        <sz val="9"/>
        <color rgb="FF666666"/>
        <rFont val="Noto Sans CJK SC"/>
        <family val="2"/>
      </rPr>
      <t xml:space="preserve">个景区 </t>
    </r>
    <r>
      <rPr>
        <sz val="9"/>
        <color rgb="FF666666"/>
        <rFont val="Arial"/>
        <family val="0"/>
        <charset val="1"/>
      </rPr>
      <t xml:space="preserve">| </t>
    </r>
    <r>
      <rPr>
        <sz val="9"/>
        <color rgb="FF666666"/>
        <rFont val="Noto Sans CJK SC"/>
        <family val="2"/>
      </rPr>
      <t xml:space="preserve">评分满分</t>
    </r>
    <r>
      <rPr>
        <sz val="9"/>
        <color rgb="FF666666"/>
        <rFont val="Arial"/>
        <family val="0"/>
        <charset val="1"/>
      </rPr>
      <t xml:space="preserve">10</t>
    </r>
    <r>
      <rPr>
        <sz val="9"/>
        <color rgb="FF666666"/>
        <rFont val="Noto Sans CJK SC"/>
        <family val="2"/>
      </rPr>
      <t xml:space="preserve">分 </t>
    </r>
    <r>
      <rPr>
        <sz val="9"/>
        <color rgb="FF666666"/>
        <rFont val="Arial"/>
        <family val="0"/>
        <charset val="1"/>
      </rPr>
      <t xml:space="preserve">| </t>
    </r>
    <r>
      <rPr>
        <sz val="9"/>
        <color rgb="FF666666"/>
        <rFont val="Noto Sans CJK SC"/>
        <family val="2"/>
      </rPr>
      <t xml:space="preserve">签证政策截至</t>
    </r>
    <r>
      <rPr>
        <sz val="9"/>
        <color rgb="FF666666"/>
        <rFont val="Arial"/>
        <family val="0"/>
        <charset val="1"/>
      </rPr>
      <t xml:space="preserve">2026</t>
    </r>
    <r>
      <rPr>
        <sz val="9"/>
        <color rgb="FF666666"/>
        <rFont val="Noto Sans CJK SC"/>
        <family val="2"/>
      </rPr>
      <t xml:space="preserve">年</t>
    </r>
    <r>
      <rPr>
        <sz val="9"/>
        <color rgb="FF666666"/>
        <rFont val="Arial"/>
        <family val="0"/>
        <charset val="1"/>
      </rPr>
      <t xml:space="preserve">4</t>
    </r>
    <r>
      <rPr>
        <sz val="9"/>
        <color rgb="FF666666"/>
        <rFont val="Noto Sans CJK SC"/>
        <family val="2"/>
      </rPr>
      <t xml:space="preserve">月 </t>
    </r>
    <r>
      <rPr>
        <sz val="9"/>
        <color rgb="FF666666"/>
        <rFont val="Arial"/>
        <family val="0"/>
        <charset val="1"/>
      </rPr>
      <t xml:space="preserve">| </t>
    </r>
    <r>
      <rPr>
        <sz val="9"/>
        <color rgb="FF666666"/>
        <rFont val="Noto Sans CJK SC"/>
        <family val="2"/>
      </rPr>
      <t xml:space="preserve">预算为人民币</t>
    </r>
    <r>
      <rPr>
        <sz val="9"/>
        <color rgb="FF666666"/>
        <rFont val="Arial"/>
        <family val="0"/>
        <charset val="1"/>
      </rPr>
      <t xml:space="preserve">/</t>
    </r>
    <r>
      <rPr>
        <sz val="9"/>
        <color rgb="FF666666"/>
        <rFont val="Noto Sans CJK SC"/>
        <family val="2"/>
      </rPr>
      <t xml:space="preserve">天</t>
    </r>
    <r>
      <rPr>
        <sz val="9"/>
        <color rgb="FF666666"/>
        <rFont val="Arial"/>
        <family val="0"/>
        <charset val="1"/>
      </rPr>
      <t xml:space="preserve">(</t>
    </r>
    <r>
      <rPr>
        <sz val="9"/>
        <color rgb="FF666666"/>
        <rFont val="Noto Sans CJK SC"/>
        <family val="2"/>
      </rPr>
      <t xml:space="preserve">含住宿</t>
    </r>
    <r>
      <rPr>
        <sz val="9"/>
        <color rgb="FF666666"/>
        <rFont val="Arial"/>
        <family val="0"/>
        <charset val="1"/>
      </rPr>
      <t xml:space="preserve">+</t>
    </r>
    <r>
      <rPr>
        <sz val="9"/>
        <color rgb="FF666666"/>
        <rFont val="Noto Sans CJK SC"/>
        <family val="2"/>
      </rPr>
      <t xml:space="preserve">门票</t>
    </r>
    <r>
      <rPr>
        <sz val="9"/>
        <color rgb="FF666666"/>
        <rFont val="Arial"/>
        <family val="0"/>
        <charset val="1"/>
      </rPr>
      <t xml:space="preserve">+</t>
    </r>
    <r>
      <rPr>
        <sz val="9"/>
        <color rgb="FF666666"/>
        <rFont val="Noto Sans CJK SC"/>
        <family val="2"/>
      </rPr>
      <t xml:space="preserve">餐饮</t>
    </r>
    <r>
      <rPr>
        <sz val="9"/>
        <color rgb="FF666666"/>
        <rFont val="Arial"/>
        <family val="0"/>
        <charset val="1"/>
      </rPr>
      <t xml:space="preserve">)</t>
    </r>
  </si>
  <si>
    <t xml:space="preserve">序号</t>
  </si>
  <si>
    <t xml:space="preserve">区域</t>
  </si>
  <si>
    <t xml:space="preserve">国家</t>
  </si>
  <si>
    <r>
      <rPr>
        <b val="true"/>
        <sz val="10"/>
        <color rgb="FFFFFFFF"/>
        <rFont val="Noto Sans CJK SC"/>
        <family val="2"/>
      </rPr>
      <t xml:space="preserve">城市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地区</t>
    </r>
  </si>
  <si>
    <r>
      <rPr>
        <b val="true"/>
        <sz val="10"/>
        <color rgb="FFFFFFFF"/>
        <rFont val="Noto Sans CJK SC"/>
        <family val="2"/>
      </rPr>
      <t xml:space="preserve">景区名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中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</si>
  <si>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景区名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英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</si>
  <si>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类型</t>
  </si>
  <si>
    <t xml:space="preserve">中国签证
政策</t>
  </si>
  <si>
    <t xml:space="preserve">游客
口碑</t>
  </si>
  <si>
    <t xml:space="preserve">亲子
友好</t>
  </si>
  <si>
    <t xml:space="preserve">老人
友好</t>
  </si>
  <si>
    <t xml:space="preserve">夫妻
友好</t>
  </si>
  <si>
    <t xml:space="preserve">一人游
友好</t>
  </si>
  <si>
    <r>
      <rPr>
        <b val="true"/>
        <sz val="10"/>
        <color rgb="FFFFFFFF"/>
        <rFont val="Noto Sans CJK SC"/>
        <family val="2"/>
      </rPr>
      <t xml:space="preserve">游览
时长</t>
    </r>
    <r>
      <rPr>
        <b val="true"/>
        <sz val="10"/>
        <color rgb="FFFFFFFF"/>
        <rFont val="Arial"/>
        <family val="0"/>
        <charset val="1"/>
      </rPr>
      <t xml:space="preserve">(h)</t>
    </r>
  </si>
  <si>
    <r>
      <rPr>
        <b val="true"/>
        <sz val="10"/>
        <color rgb="FFFFFFFF"/>
        <rFont val="Noto Sans CJK SC"/>
        <family val="2"/>
      </rPr>
      <t xml:space="preserve">日均预算
</t>
    </r>
    <r>
      <rPr>
        <b val="true"/>
        <sz val="10"/>
        <color rgb="FFFFFFFF"/>
        <rFont val="Arial"/>
        <family val="0"/>
        <charset val="1"/>
      </rPr>
      <t xml:space="preserve">(¥/</t>
    </r>
    <r>
      <rPr>
        <b val="true"/>
        <sz val="10"/>
        <color rgb="FFFFFFFF"/>
        <rFont val="Noto Sans CJK SC"/>
        <family val="2"/>
      </rPr>
      <t xml:space="preserve">天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</si>
  <si>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从中国
交通达性</t>
  </si>
  <si>
    <t xml:space="preserve">全年
适宜度</t>
  </si>
  <si>
    <t xml:space="preserve">最佳季节</t>
  </si>
  <si>
    <t xml:space="preserve">最佳月份</t>
  </si>
  <si>
    <r>
      <rPr>
        <b val="true"/>
        <sz val="10"/>
        <color rgb="FFFFFFFF"/>
        <rFont val="Noto Sans CJK SC"/>
        <family val="2"/>
      </rPr>
      <t xml:space="preserve">文化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生态
独特价值</t>
    </r>
  </si>
  <si>
    <t xml:space="preserve">基础设施
与配套</t>
  </si>
  <si>
    <t xml:space="preserve">性价比</t>
  </si>
  <si>
    <t xml:space="preserve">综合加权
满意度</t>
  </si>
  <si>
    <t xml:space="preserve">东亚</t>
  </si>
  <si>
    <t xml:space="preserve">日本</t>
  </si>
  <si>
    <t xml:space="preserve">东京</t>
  </si>
  <si>
    <r>
      <rPr>
        <b val="true"/>
        <sz val="9"/>
        <rFont val="Noto Sans CJK SC"/>
        <family val="2"/>
      </rPr>
      <t xml:space="preserve">浅草寺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雷门</t>
    </r>
  </si>
  <si>
    <t xml:space="preserve">Senso-ji Temple</t>
  </si>
  <si>
    <t xml:space="preserve">历史文化</t>
  </si>
  <si>
    <r>
      <rPr>
        <b val="true"/>
        <sz val="8"/>
        <color rgb="FF006600"/>
        <rFont val="Noto Sans CJK SC"/>
        <family val="2"/>
      </rPr>
      <t xml:space="preserve">免签</t>
    </r>
    <r>
      <rPr>
        <b val="true"/>
        <sz val="8"/>
        <color rgb="FF006600"/>
        <rFont val="Arial"/>
        <family val="0"/>
        <charset val="1"/>
      </rPr>
      <t xml:space="preserve">30</t>
    </r>
    <r>
      <rPr>
        <b val="true"/>
        <sz val="8"/>
        <color rgb="FF006600"/>
        <rFont val="Noto Sans CJK SC"/>
        <family val="2"/>
      </rPr>
      <t xml:space="preserve">天</t>
    </r>
  </si>
  <si>
    <t xml:space="preserve">四季</t>
  </si>
  <si>
    <r>
      <rPr>
        <sz val="9"/>
        <rFont val="Arial"/>
        <family val="0"/>
        <charset val="1"/>
      </rPr>
      <t xml:space="preserve">3-5</t>
    </r>
    <r>
      <rPr>
        <sz val="9"/>
        <rFont val="Noto Sans CJK SC"/>
        <family val="2"/>
      </rPr>
      <t xml:space="preserve">月</t>
    </r>
    <r>
      <rPr>
        <sz val="9"/>
        <rFont val="Arial"/>
        <family val="0"/>
        <charset val="1"/>
      </rPr>
      <t xml:space="preserve">/10-11</t>
    </r>
    <r>
      <rPr>
        <sz val="9"/>
        <rFont val="Noto Sans CJK SC"/>
        <family val="2"/>
      </rPr>
      <t xml:space="preserve">月</t>
    </r>
  </si>
  <si>
    <t xml:space="preserve">京都</t>
  </si>
  <si>
    <t xml:space="preserve">清水寺</t>
  </si>
  <si>
    <t xml:space="preserve">Kiyomizu-dera</t>
  </si>
  <si>
    <t xml:space="preserve">春秋</t>
  </si>
  <si>
    <r>
      <rPr>
        <sz val="9"/>
        <rFont val="Arial"/>
        <family val="0"/>
        <charset val="1"/>
      </rPr>
      <t xml:space="preserve">3-4</t>
    </r>
    <r>
      <rPr>
        <sz val="9"/>
        <rFont val="Noto Sans CJK SC"/>
        <family val="2"/>
      </rPr>
      <t xml:space="preserve">月</t>
    </r>
    <r>
      <rPr>
        <sz val="9"/>
        <rFont val="Arial"/>
        <family val="0"/>
        <charset val="1"/>
      </rPr>
      <t xml:space="preserve">/11</t>
    </r>
    <r>
      <rPr>
        <sz val="9"/>
        <rFont val="Noto Sans CJK SC"/>
        <family val="2"/>
      </rPr>
      <t xml:space="preserve">月</t>
    </r>
  </si>
  <si>
    <t xml:space="preserve">伏见稻荷大社</t>
  </si>
  <si>
    <t xml:space="preserve">Fushimi Inari Shrine</t>
  </si>
  <si>
    <t xml:space="preserve">宗教文化</t>
  </si>
  <si>
    <t xml:space="preserve">大阪</t>
  </si>
  <si>
    <r>
      <rPr>
        <b val="true"/>
        <sz val="9"/>
        <rFont val="Noto Sans CJK SC"/>
        <family val="2"/>
      </rPr>
      <t xml:space="preserve">大阪城天守阁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道顿堀</t>
    </r>
  </si>
  <si>
    <t xml:space="preserve">Osaka Castle &amp; Dotonbori</t>
  </si>
  <si>
    <r>
      <rPr>
        <sz val="9"/>
        <rFont val="Noto Sans CJK SC"/>
        <family val="2"/>
      </rPr>
      <t xml:space="preserve">历史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美食</t>
    </r>
  </si>
  <si>
    <t xml:space="preserve">奈良</t>
  </si>
  <si>
    <r>
      <rPr>
        <b val="true"/>
        <sz val="9"/>
        <rFont val="Noto Sans CJK SC"/>
        <family val="2"/>
      </rPr>
      <t xml:space="preserve">奈良公园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东大寺</t>
    </r>
  </si>
  <si>
    <t xml:space="preserve">Nara Park &amp; Todai-ji</t>
  </si>
  <si>
    <t xml:space="preserve">历史生态</t>
  </si>
  <si>
    <t xml:space="preserve">富士山</t>
  </si>
  <si>
    <t xml:space="preserve">Mount Fuji</t>
  </si>
  <si>
    <t xml:space="preserve">自然山岳</t>
  </si>
  <si>
    <t xml:space="preserve">夏</t>
  </si>
  <si>
    <r>
      <rPr>
        <sz val="9"/>
        <rFont val="Arial"/>
        <family val="0"/>
        <charset val="1"/>
      </rPr>
      <t xml:space="preserve">7-8</t>
    </r>
    <r>
      <rPr>
        <sz val="9"/>
        <rFont val="Noto Sans CJK SC"/>
        <family val="2"/>
      </rPr>
      <t xml:space="preserve">月</t>
    </r>
  </si>
  <si>
    <t xml:space="preserve">广岛</t>
  </si>
  <si>
    <r>
      <rPr>
        <b val="true"/>
        <sz val="9"/>
        <rFont val="Noto Sans CJK SC"/>
        <family val="2"/>
      </rPr>
      <t xml:space="preserve">严岛神社</t>
    </r>
    <r>
      <rPr>
        <b val="true"/>
        <sz val="9"/>
        <rFont val="Arial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宫岛</t>
    </r>
    <r>
      <rPr>
        <b val="true"/>
        <sz val="9"/>
        <rFont val="Arial"/>
        <family val="0"/>
        <charset val="1"/>
      </rPr>
      <t xml:space="preserve">)</t>
    </r>
  </si>
  <si>
    <t xml:space="preserve">Itsukushima Shrine</t>
  </si>
  <si>
    <t xml:space="preserve">北海道</t>
  </si>
  <si>
    <r>
      <rPr>
        <b val="true"/>
        <sz val="9"/>
        <rFont val="Noto Sans CJK SC"/>
        <family val="2"/>
      </rPr>
      <t xml:space="preserve">富良野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美瑛</t>
    </r>
  </si>
  <si>
    <t xml:space="preserve">Furano &amp; Biei</t>
  </si>
  <si>
    <t xml:space="preserve">自然花田</t>
  </si>
  <si>
    <r>
      <rPr>
        <sz val="9"/>
        <rFont val="Arial"/>
        <family val="0"/>
        <charset val="1"/>
      </rPr>
      <t xml:space="preserve">6-8</t>
    </r>
    <r>
      <rPr>
        <sz val="9"/>
        <rFont val="Noto Sans CJK SC"/>
        <family val="2"/>
      </rPr>
      <t xml:space="preserve">月</t>
    </r>
  </si>
  <si>
    <t xml:space="preserve">冲绳</t>
  </si>
  <si>
    <t xml:space="preserve">冲绳美丽海水族馆</t>
  </si>
  <si>
    <t xml:space="preserve">Okinawa Churaumi Aquarium</t>
  </si>
  <si>
    <t xml:space="preserve">海洋主题</t>
  </si>
  <si>
    <t xml:space="preserve">春秋冬</t>
  </si>
  <si>
    <r>
      <rPr>
        <sz val="9"/>
        <rFont val="Arial"/>
        <family val="0"/>
        <charset val="1"/>
      </rPr>
      <t xml:space="preserve">3-5</t>
    </r>
    <r>
      <rPr>
        <sz val="9"/>
        <rFont val="Noto Sans CJK SC"/>
        <family val="2"/>
      </rPr>
      <t xml:space="preserve">月</t>
    </r>
    <r>
      <rPr>
        <sz val="9"/>
        <rFont val="Arial"/>
        <family val="0"/>
        <charset val="1"/>
      </rPr>
      <t xml:space="preserve">/10-12</t>
    </r>
    <r>
      <rPr>
        <sz val="9"/>
        <rFont val="Noto Sans CJK SC"/>
        <family val="2"/>
      </rPr>
      <t xml:space="preserve">月</t>
    </r>
  </si>
  <si>
    <t xml:space="preserve">金泽</t>
  </si>
  <si>
    <t xml:space="preserve">兼六园</t>
  </si>
  <si>
    <t xml:space="preserve">Kenroku-en Garden</t>
  </si>
  <si>
    <t xml:space="preserve">园林景观</t>
  </si>
  <si>
    <t xml:space="preserve">长野</t>
  </si>
  <si>
    <t xml:space="preserve">上高地</t>
  </si>
  <si>
    <t xml:space="preserve">Kamikochi</t>
  </si>
  <si>
    <t xml:space="preserve">自然山谷</t>
  </si>
  <si>
    <t xml:space="preserve">夏秋</t>
  </si>
  <si>
    <r>
      <rPr>
        <sz val="9"/>
        <rFont val="Arial"/>
        <family val="0"/>
        <charset val="1"/>
      </rPr>
      <t xml:space="preserve">6-10</t>
    </r>
    <r>
      <rPr>
        <sz val="9"/>
        <rFont val="Noto Sans CJK SC"/>
        <family val="2"/>
      </rPr>
      <t xml:space="preserve">月</t>
    </r>
  </si>
  <si>
    <t xml:space="preserve">箱根</t>
  </si>
  <si>
    <r>
      <rPr>
        <b val="true"/>
        <sz val="9"/>
        <rFont val="Noto Sans CJK SC"/>
        <family val="2"/>
      </rPr>
      <t xml:space="preserve">箱根温泉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芦之湖</t>
    </r>
  </si>
  <si>
    <t xml:space="preserve">Hakone Onsen</t>
  </si>
  <si>
    <t xml:space="preserve">温泉度假</t>
  </si>
  <si>
    <t xml:space="preserve">秋冬</t>
  </si>
  <si>
    <r>
      <rPr>
        <sz val="9"/>
        <rFont val="Arial"/>
        <family val="0"/>
        <charset val="1"/>
      </rPr>
      <t xml:space="preserve">10-3</t>
    </r>
    <r>
      <rPr>
        <sz val="9"/>
        <rFont val="Noto Sans CJK SC"/>
        <family val="2"/>
      </rPr>
      <t xml:space="preserve">月</t>
    </r>
  </si>
  <si>
    <t xml:space="preserve">白川乡</t>
  </si>
  <si>
    <t xml:space="preserve">白川乡合掌造</t>
  </si>
  <si>
    <t xml:space="preserve">Shirakawa-go</t>
  </si>
  <si>
    <t xml:space="preserve">历史村落</t>
  </si>
  <si>
    <t xml:space="preserve">冬春</t>
  </si>
  <si>
    <r>
      <rPr>
        <sz val="9"/>
        <rFont val="Arial"/>
        <family val="0"/>
        <charset val="1"/>
      </rPr>
      <t xml:space="preserve">1-3</t>
    </r>
    <r>
      <rPr>
        <sz val="9"/>
        <rFont val="Noto Sans CJK SC"/>
        <family val="2"/>
      </rPr>
      <t xml:space="preserve">月</t>
    </r>
    <r>
      <rPr>
        <sz val="9"/>
        <rFont val="Arial"/>
        <family val="0"/>
        <charset val="1"/>
      </rPr>
      <t xml:space="preserve">/10-11</t>
    </r>
    <r>
      <rPr>
        <sz val="9"/>
        <rFont val="Noto Sans CJK SC"/>
        <family val="2"/>
      </rPr>
      <t xml:space="preserve">月</t>
    </r>
  </si>
  <si>
    <t xml:space="preserve">镰仓</t>
  </si>
  <si>
    <r>
      <rPr>
        <b val="true"/>
        <sz val="9"/>
        <rFont val="Noto Sans CJK SC"/>
        <family val="2"/>
      </rPr>
      <t xml:space="preserve">镰仓大佛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江之岛</t>
    </r>
  </si>
  <si>
    <t xml:space="preserve">Kamakura</t>
  </si>
  <si>
    <t xml:space="preserve">历史海岸</t>
  </si>
  <si>
    <t xml:space="preserve">春夏秋</t>
  </si>
  <si>
    <r>
      <rPr>
        <sz val="9"/>
        <rFont val="Arial"/>
        <family val="0"/>
        <charset val="1"/>
      </rPr>
      <t xml:space="preserve">3-10</t>
    </r>
    <r>
      <rPr>
        <sz val="9"/>
        <rFont val="Noto Sans CJK SC"/>
        <family val="2"/>
      </rPr>
      <t xml:space="preserve">月</t>
    </r>
  </si>
  <si>
    <t xml:space="preserve">日光</t>
  </si>
  <si>
    <t xml:space="preserve">日光东照宫</t>
  </si>
  <si>
    <t xml:space="preserve">Nikko Toshogu</t>
  </si>
  <si>
    <r>
      <rPr>
        <sz val="9"/>
        <rFont val="Arial"/>
        <family val="0"/>
        <charset val="1"/>
      </rPr>
      <t xml:space="preserve">4-5</t>
    </r>
    <r>
      <rPr>
        <sz val="9"/>
        <rFont val="Noto Sans CJK SC"/>
        <family val="2"/>
      </rPr>
      <t xml:space="preserve">月</t>
    </r>
    <r>
      <rPr>
        <sz val="9"/>
        <rFont val="Arial"/>
        <family val="0"/>
        <charset val="1"/>
      </rPr>
      <t xml:space="preserve">/10-11</t>
    </r>
    <r>
      <rPr>
        <sz val="9"/>
        <rFont val="Noto Sans CJK SC"/>
        <family val="2"/>
      </rPr>
      <t xml:space="preserve">月</t>
    </r>
  </si>
  <si>
    <t xml:space="preserve">�的山</t>
  </si>
  <si>
    <t xml:space="preserve">高野山</t>
  </si>
  <si>
    <t xml:space="preserve">Mount Koya</t>
  </si>
  <si>
    <t xml:space="preserve">秋</t>
  </si>
  <si>
    <r>
      <rPr>
        <sz val="9"/>
        <rFont val="Arial"/>
        <family val="0"/>
        <charset val="1"/>
      </rPr>
      <t xml:space="preserve">10-11</t>
    </r>
    <r>
      <rPr>
        <sz val="9"/>
        <rFont val="Noto Sans CJK SC"/>
        <family val="2"/>
      </rPr>
      <t xml:space="preserve">月</t>
    </r>
  </si>
  <si>
    <t xml:space="preserve">名古屋</t>
  </si>
  <si>
    <t xml:space="preserve">名古屋城</t>
  </si>
  <si>
    <t xml:space="preserve">Nagoya Castle</t>
  </si>
  <si>
    <t xml:space="preserve">春</t>
  </si>
  <si>
    <r>
      <rPr>
        <sz val="9"/>
        <rFont val="Arial"/>
        <family val="0"/>
        <charset val="1"/>
      </rPr>
      <t xml:space="preserve">3-4</t>
    </r>
    <r>
      <rPr>
        <sz val="9"/>
        <rFont val="Noto Sans CJK SC"/>
        <family val="2"/>
      </rPr>
      <t xml:space="preserve">月</t>
    </r>
  </si>
  <si>
    <t xml:space="preserve">熊野古道</t>
  </si>
  <si>
    <t xml:space="preserve">Kumano Kodo</t>
  </si>
  <si>
    <t xml:space="preserve">古道徒步</t>
  </si>
  <si>
    <t xml:space="preserve">屋久岛</t>
  </si>
  <si>
    <t xml:space="preserve">Yakushima</t>
  </si>
  <si>
    <t xml:space="preserve">自然森林</t>
  </si>
  <si>
    <t xml:space="preserve">春夏</t>
  </si>
  <si>
    <r>
      <rPr>
        <sz val="9"/>
        <rFont val="Arial"/>
        <family val="0"/>
        <charset val="1"/>
      </rPr>
      <t xml:space="preserve">3-7</t>
    </r>
    <r>
      <rPr>
        <sz val="9"/>
        <rFont val="Noto Sans CJK SC"/>
        <family val="2"/>
      </rPr>
      <t xml:space="preserve">月</t>
    </r>
  </si>
  <si>
    <t xml:space="preserve">别府</t>
  </si>
  <si>
    <t xml:space="preserve">别府温泉地狱巡游</t>
  </si>
  <si>
    <t xml:space="preserve">Beppu Hells</t>
  </si>
  <si>
    <t xml:space="preserve">温泉地质</t>
  </si>
  <si>
    <t xml:space="preserve">秋冬春</t>
  </si>
  <si>
    <r>
      <rPr>
        <sz val="9"/>
        <rFont val="Arial"/>
        <family val="0"/>
        <charset val="1"/>
      </rPr>
      <t xml:space="preserve">10-4</t>
    </r>
    <r>
      <rPr>
        <sz val="9"/>
        <rFont val="Noto Sans CJK SC"/>
        <family val="2"/>
      </rPr>
      <t xml:space="preserve">月</t>
    </r>
  </si>
  <si>
    <t xml:space="preserve">韩国</t>
  </si>
  <si>
    <t xml:space="preserve">首尔</t>
  </si>
  <si>
    <t xml:space="preserve">景福宫</t>
  </si>
  <si>
    <t xml:space="preserve">Gyeongbokgung Palace</t>
  </si>
  <si>
    <r>
      <rPr>
        <sz val="9"/>
        <rFont val="Arial"/>
        <family val="0"/>
        <charset val="1"/>
      </rPr>
      <t xml:space="preserve">3-5</t>
    </r>
    <r>
      <rPr>
        <sz val="9"/>
        <rFont val="Noto Sans CJK SC"/>
        <family val="2"/>
      </rPr>
      <t xml:space="preserve">月</t>
    </r>
    <r>
      <rPr>
        <sz val="9"/>
        <rFont val="Arial"/>
        <family val="0"/>
        <charset val="1"/>
      </rPr>
      <t xml:space="preserve">/9-11</t>
    </r>
    <r>
      <rPr>
        <sz val="9"/>
        <rFont val="Noto Sans CJK SC"/>
        <family val="2"/>
      </rPr>
      <t xml:space="preserve">月</t>
    </r>
  </si>
  <si>
    <t xml:space="preserve">北村韩屋村</t>
  </si>
  <si>
    <t xml:space="preserve">Bukchon Hanok Village</t>
  </si>
  <si>
    <t xml:space="preserve">历史街区</t>
  </si>
  <si>
    <t xml:space="preserve">济州岛</t>
  </si>
  <si>
    <t xml:space="preserve">汉拿山国立公园</t>
  </si>
  <si>
    <t xml:space="preserve">Hallasan National Park</t>
  </si>
  <si>
    <t xml:space="preserve">城山日出峰</t>
  </si>
  <si>
    <t xml:space="preserve">Seongsan Ilchulbong</t>
  </si>
  <si>
    <t xml:space="preserve">自然地质</t>
  </si>
  <si>
    <r>
      <rPr>
        <sz val="9"/>
        <rFont val="Arial"/>
        <family val="0"/>
        <charset val="1"/>
      </rPr>
      <t xml:space="preserve">4-10</t>
    </r>
    <r>
      <rPr>
        <sz val="9"/>
        <rFont val="Noto Sans CJK SC"/>
        <family val="2"/>
      </rPr>
      <t xml:space="preserve">月</t>
    </r>
  </si>
  <si>
    <t xml:space="preserve">庆州</t>
  </si>
  <si>
    <t xml:space="preserve">庆州历史遗迹区</t>
  </si>
  <si>
    <t xml:space="preserve">Gyeongju Historic Areas</t>
  </si>
  <si>
    <t xml:space="preserve">历史遗迹</t>
  </si>
  <si>
    <t xml:space="preserve">釜山</t>
  </si>
  <si>
    <r>
      <rPr>
        <b val="true"/>
        <sz val="9"/>
        <rFont val="Noto Sans CJK SC"/>
        <family val="2"/>
      </rPr>
      <t xml:space="preserve">海云台海滩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甘川文化村</t>
    </r>
  </si>
  <si>
    <t xml:space="preserve">Haeundae &amp; Gamcheon</t>
  </si>
  <si>
    <t xml:space="preserve">海滨文化</t>
  </si>
  <si>
    <t xml:space="preserve">全州</t>
  </si>
  <si>
    <t xml:space="preserve">全州韩屋村</t>
  </si>
  <si>
    <t xml:space="preserve">Jeonju Hanok Village</t>
  </si>
  <si>
    <t xml:space="preserve">历史美食</t>
  </si>
  <si>
    <t xml:space="preserve">江原道</t>
  </si>
  <si>
    <t xml:space="preserve">雪岳山国立公园</t>
  </si>
  <si>
    <t xml:space="preserve">Seoraksan National Park</t>
  </si>
  <si>
    <r>
      <rPr>
        <sz val="9"/>
        <rFont val="Arial"/>
        <family val="0"/>
        <charset val="1"/>
      </rPr>
      <t xml:space="preserve">9-10</t>
    </r>
    <r>
      <rPr>
        <sz val="9"/>
        <rFont val="Noto Sans CJK SC"/>
        <family val="2"/>
      </rPr>
      <t xml:space="preserve">月</t>
    </r>
  </si>
  <si>
    <t xml:space="preserve">安东</t>
  </si>
  <si>
    <t xml:space="preserve">河回村</t>
  </si>
  <si>
    <t xml:space="preserve">Hahoe Folk Village</t>
  </si>
  <si>
    <r>
      <rPr>
        <sz val="9"/>
        <rFont val="Arial"/>
        <family val="0"/>
        <charset val="1"/>
      </rPr>
      <t xml:space="preserve">4-5</t>
    </r>
    <r>
      <rPr>
        <sz val="9"/>
        <rFont val="Noto Sans CJK SC"/>
        <family val="2"/>
      </rPr>
      <t xml:space="preserve">月</t>
    </r>
    <r>
      <rPr>
        <sz val="9"/>
        <rFont val="Arial"/>
        <family val="0"/>
        <charset val="1"/>
      </rPr>
      <t xml:space="preserve">/9-10</t>
    </r>
    <r>
      <rPr>
        <sz val="9"/>
        <rFont val="Noto Sans CJK SC"/>
        <family val="2"/>
      </rPr>
      <t xml:space="preserve">月</t>
    </r>
  </si>
  <si>
    <r>
      <rPr>
        <b val="true"/>
        <sz val="9"/>
        <rFont val="Noto Sans CJK SC"/>
        <family val="2"/>
      </rPr>
      <t xml:space="preserve">南山塔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明洞</t>
    </r>
  </si>
  <si>
    <t xml:space="preserve">Namsan Tower &amp; Myeongdong</t>
  </si>
  <si>
    <t xml:space="preserve">城市地标</t>
  </si>
  <si>
    <r>
      <rPr>
        <sz val="9"/>
        <rFont val="Arial"/>
        <family val="0"/>
        <charset val="1"/>
      </rPr>
      <t xml:space="preserve">3-11</t>
    </r>
    <r>
      <rPr>
        <sz val="9"/>
        <rFont val="Noto Sans CJK SC"/>
        <family val="2"/>
      </rPr>
      <t xml:space="preserve">月</t>
    </r>
  </si>
  <si>
    <t xml:space="preserve">仁川</t>
  </si>
  <si>
    <t xml:space="preserve">江华岛</t>
  </si>
  <si>
    <t xml:space="preserve">Ganghwa Island</t>
  </si>
  <si>
    <t xml:space="preserve">历史自然</t>
  </si>
  <si>
    <t xml:space="preserve">丽水</t>
  </si>
  <si>
    <t xml:space="preserve">丽水海洋公园</t>
  </si>
  <si>
    <t xml:space="preserve">Yeosu Expo &amp; Maritime</t>
  </si>
  <si>
    <t xml:space="preserve">海洋文化</t>
  </si>
  <si>
    <t xml:space="preserve">东南亚</t>
  </si>
  <si>
    <t xml:space="preserve">泰国</t>
  </si>
  <si>
    <t xml:space="preserve">曼谷</t>
  </si>
  <si>
    <r>
      <rPr>
        <b val="true"/>
        <sz val="9"/>
        <rFont val="Noto Sans CJK SC"/>
        <family val="2"/>
      </rPr>
      <t xml:space="preserve">大皇宫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玉佛寺</t>
    </r>
  </si>
  <si>
    <t xml:space="preserve">Grand Palace &amp; Wat Phra Kaew</t>
  </si>
  <si>
    <t xml:space="preserve">互免签证</t>
  </si>
  <si>
    <r>
      <rPr>
        <sz val="9"/>
        <rFont val="Arial"/>
        <family val="0"/>
        <charset val="1"/>
      </rPr>
      <t xml:space="preserve">11-3</t>
    </r>
    <r>
      <rPr>
        <sz val="9"/>
        <rFont val="Noto Sans CJK SC"/>
        <family val="2"/>
      </rPr>
      <t xml:space="preserve">月</t>
    </r>
  </si>
  <si>
    <t xml:space="preserve">清迈</t>
  </si>
  <si>
    <r>
      <rPr>
        <b val="true"/>
        <sz val="9"/>
        <rFont val="Noto Sans CJK SC"/>
        <family val="2"/>
      </rPr>
      <t xml:space="preserve">素贴山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双龙寺</t>
    </r>
  </si>
  <si>
    <t xml:space="preserve">Doi Suthep</t>
  </si>
  <si>
    <t xml:space="preserve">冬</t>
  </si>
  <si>
    <r>
      <rPr>
        <sz val="9"/>
        <rFont val="Arial"/>
        <family val="0"/>
        <charset val="1"/>
      </rPr>
      <t xml:space="preserve">11-2</t>
    </r>
    <r>
      <rPr>
        <sz val="9"/>
        <rFont val="Noto Sans CJK SC"/>
        <family val="2"/>
      </rPr>
      <t xml:space="preserve">月</t>
    </r>
  </si>
  <si>
    <t xml:space="preserve">清迈古城</t>
  </si>
  <si>
    <t xml:space="preserve">Chiang Mai Old City</t>
  </si>
  <si>
    <t xml:space="preserve">普吉岛</t>
  </si>
  <si>
    <t xml:space="preserve">Phuket Island</t>
  </si>
  <si>
    <t xml:space="preserve">海岛度假</t>
  </si>
  <si>
    <r>
      <rPr>
        <sz val="9"/>
        <rFont val="Arial"/>
        <family val="0"/>
        <charset val="1"/>
      </rPr>
      <t xml:space="preserve">11-4</t>
    </r>
    <r>
      <rPr>
        <sz val="9"/>
        <rFont val="Noto Sans CJK SC"/>
        <family val="2"/>
      </rPr>
      <t xml:space="preserve">月</t>
    </r>
  </si>
  <si>
    <t xml:space="preserve">甲米</t>
  </si>
  <si>
    <r>
      <rPr>
        <b val="true"/>
        <sz val="9"/>
        <rFont val="Noto Sans CJK SC"/>
        <family val="2"/>
      </rPr>
      <t xml:space="preserve">甲米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皮皮岛</t>
    </r>
  </si>
  <si>
    <t xml:space="preserve">Krabi &amp; Phi Phi Islands</t>
  </si>
  <si>
    <t xml:space="preserve">海岛山水</t>
  </si>
  <si>
    <t xml:space="preserve">清莱</t>
  </si>
  <si>
    <r>
      <rPr>
        <b val="true"/>
        <sz val="9"/>
        <rFont val="Noto Sans CJK SC"/>
        <family val="2"/>
      </rPr>
      <t xml:space="preserve">白庙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蓝庙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黑屋</t>
    </r>
  </si>
  <si>
    <t xml:space="preserve">White/Blue Temple &amp; Black House</t>
  </si>
  <si>
    <t xml:space="preserve">宗教艺术</t>
  </si>
  <si>
    <t xml:space="preserve">大城</t>
  </si>
  <si>
    <t xml:space="preserve">大城遗址</t>
  </si>
  <si>
    <t xml:space="preserve">Ayutthaya Historical Park</t>
  </si>
  <si>
    <t xml:space="preserve">苏梅岛</t>
  </si>
  <si>
    <t xml:space="preserve">Koh Samui</t>
  </si>
  <si>
    <t xml:space="preserve">冬春夏</t>
  </si>
  <si>
    <r>
      <rPr>
        <sz val="9"/>
        <rFont val="Arial"/>
        <family val="0"/>
        <charset val="1"/>
      </rPr>
      <t xml:space="preserve">12-8</t>
    </r>
    <r>
      <rPr>
        <sz val="9"/>
        <rFont val="Noto Sans CJK SC"/>
        <family val="2"/>
      </rPr>
      <t xml:space="preserve">月</t>
    </r>
  </si>
  <si>
    <t xml:space="preserve">芭提雅</t>
  </si>
  <si>
    <t xml:space="preserve">Pattaya</t>
  </si>
  <si>
    <t xml:space="preserve">海滨娱乐</t>
  </si>
  <si>
    <t xml:space="preserve">华欣</t>
  </si>
  <si>
    <t xml:space="preserve">Hua Hin</t>
  </si>
  <si>
    <t xml:space="preserve">海滨小城</t>
  </si>
  <si>
    <t xml:space="preserve">素可泰</t>
  </si>
  <si>
    <t xml:space="preserve">素可泰历史公园</t>
  </si>
  <si>
    <t xml:space="preserve">Sukhothai Historical Park</t>
  </si>
  <si>
    <t xml:space="preserve">拜县</t>
  </si>
  <si>
    <t xml:space="preserve">Pai</t>
  </si>
  <si>
    <t xml:space="preserve">自然小镇</t>
  </si>
  <si>
    <t xml:space="preserve">新加坡</t>
  </si>
  <si>
    <t xml:space="preserve">滨海湾花园</t>
  </si>
  <si>
    <t xml:space="preserve">Gardens by the Bay</t>
  </si>
  <si>
    <t xml:space="preserve">现代园林</t>
  </si>
  <si>
    <t xml:space="preserve">全年</t>
  </si>
  <si>
    <r>
      <rPr>
        <b val="true"/>
        <sz val="9"/>
        <rFont val="Noto Sans CJK SC"/>
        <family val="2"/>
      </rPr>
      <t xml:space="preserve">圣淘沙岛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环球影城</t>
    </r>
  </si>
  <si>
    <t xml:space="preserve">Sentosa &amp; USS</t>
  </si>
  <si>
    <t xml:space="preserve">主题乐园</t>
  </si>
  <si>
    <r>
      <rPr>
        <b val="true"/>
        <sz val="9"/>
        <rFont val="Noto Sans CJK SC"/>
        <family val="2"/>
      </rPr>
      <t xml:space="preserve">鱼尾狮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滨海湾金沙</t>
    </r>
  </si>
  <si>
    <t xml:space="preserve">Merlion &amp; Marina Bay Sands</t>
  </si>
  <si>
    <t xml:space="preserve">夜间动物园</t>
  </si>
  <si>
    <t xml:space="preserve">Night Safari</t>
  </si>
  <si>
    <t xml:space="preserve">生态夜游</t>
  </si>
  <si>
    <r>
      <rPr>
        <b val="true"/>
        <sz val="9"/>
        <rFont val="Noto Sans CJK SC"/>
        <family val="2"/>
      </rPr>
      <t xml:space="preserve">小印度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牛车水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甘榜格南</t>
    </r>
  </si>
  <si>
    <t xml:space="preserve">Little India &amp; Chinatown</t>
  </si>
  <si>
    <t xml:space="preserve">多元文化</t>
  </si>
  <si>
    <t xml:space="preserve">马来西亚</t>
  </si>
  <si>
    <t xml:space="preserve">吉隆坡</t>
  </si>
  <si>
    <r>
      <rPr>
        <b val="true"/>
        <sz val="9"/>
        <rFont val="Noto Sans CJK SC"/>
        <family val="2"/>
      </rPr>
      <t xml:space="preserve">双子塔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黑风洞</t>
    </r>
  </si>
  <si>
    <t xml:space="preserve">Petronas &amp; Batu Caves</t>
  </si>
  <si>
    <r>
      <rPr>
        <sz val="9"/>
        <rFont val="Arial"/>
        <family val="0"/>
        <charset val="1"/>
      </rPr>
      <t xml:space="preserve">3-9</t>
    </r>
    <r>
      <rPr>
        <sz val="9"/>
        <rFont val="Noto Sans CJK SC"/>
        <family val="2"/>
      </rPr>
      <t xml:space="preserve">月</t>
    </r>
  </si>
  <si>
    <t xml:space="preserve">槟城</t>
  </si>
  <si>
    <t xml:space="preserve">乔治城历史区</t>
  </si>
  <si>
    <t xml:space="preserve">George Town Heritage</t>
  </si>
  <si>
    <t xml:space="preserve">全年少雨</t>
  </si>
  <si>
    <r>
      <rPr>
        <sz val="9"/>
        <rFont val="Arial"/>
        <family val="0"/>
        <charset val="1"/>
      </rPr>
      <t xml:space="preserve">12-3</t>
    </r>
    <r>
      <rPr>
        <sz val="9"/>
        <rFont val="Noto Sans CJK SC"/>
        <family val="2"/>
      </rPr>
      <t xml:space="preserve">月</t>
    </r>
  </si>
  <si>
    <t xml:space="preserve">兰卡威</t>
  </si>
  <si>
    <t xml:space="preserve">兰卡威群岛</t>
  </si>
  <si>
    <t xml:space="preserve">Langkawi Islands</t>
  </si>
  <si>
    <t xml:space="preserve">沙巴</t>
  </si>
  <si>
    <r>
      <rPr>
        <b val="true"/>
        <sz val="9"/>
        <rFont val="Noto Sans CJK SC"/>
        <family val="2"/>
      </rPr>
      <t xml:space="preserve">京那巴鲁山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仙本那</t>
    </r>
  </si>
  <si>
    <t xml:space="preserve">Mt Kinabalu &amp; Semporna</t>
  </si>
  <si>
    <t xml:space="preserve">自然山海</t>
  </si>
  <si>
    <r>
      <rPr>
        <sz val="9"/>
        <rFont val="Arial"/>
        <family val="0"/>
        <charset val="1"/>
      </rPr>
      <t xml:space="preserve">3-5</t>
    </r>
    <r>
      <rPr>
        <sz val="9"/>
        <rFont val="Noto Sans CJK SC"/>
        <family val="2"/>
      </rPr>
      <t xml:space="preserve">月</t>
    </r>
  </si>
  <si>
    <t xml:space="preserve">马六甲</t>
  </si>
  <si>
    <t xml:space="preserve">马六甲历史城区</t>
  </si>
  <si>
    <t xml:space="preserve">Malacca Historic City</t>
  </si>
  <si>
    <t xml:space="preserve">沙捞越</t>
  </si>
  <si>
    <t xml:space="preserve">姆鲁国家公园</t>
  </si>
  <si>
    <t xml:space="preserve">Mulu National Park</t>
  </si>
  <si>
    <t xml:space="preserve">自然溶洞</t>
  </si>
  <si>
    <r>
      <rPr>
        <sz val="9"/>
        <rFont val="Arial"/>
        <family val="0"/>
        <charset val="1"/>
      </rPr>
      <t xml:space="preserve">3-5</t>
    </r>
    <r>
      <rPr>
        <sz val="9"/>
        <rFont val="Noto Sans CJK SC"/>
        <family val="2"/>
      </rPr>
      <t xml:space="preserve">月</t>
    </r>
    <r>
      <rPr>
        <sz val="9"/>
        <rFont val="Arial"/>
        <family val="0"/>
        <charset val="1"/>
      </rPr>
      <t xml:space="preserve">/9-10</t>
    </r>
    <r>
      <rPr>
        <sz val="9"/>
        <rFont val="Noto Sans CJK SC"/>
        <family val="2"/>
      </rPr>
      <t xml:space="preserve">月</t>
    </r>
  </si>
  <si>
    <t xml:space="preserve">云顶高原</t>
  </si>
  <si>
    <t xml:space="preserve">Genting Highlands</t>
  </si>
  <si>
    <t xml:space="preserve">度假娱乐</t>
  </si>
  <si>
    <t xml:space="preserve">怡保</t>
  </si>
  <si>
    <t xml:space="preserve">怡保旧城区</t>
  </si>
  <si>
    <t xml:space="preserve">Ipoh Old Town</t>
  </si>
  <si>
    <t xml:space="preserve">越南</t>
  </si>
  <si>
    <t xml:space="preserve">河内</t>
  </si>
  <si>
    <t xml:space="preserve">下龙湾</t>
  </si>
  <si>
    <t xml:space="preserve">Ha Long Bay</t>
  </si>
  <si>
    <t xml:space="preserve">自然海湾</t>
  </si>
  <si>
    <t xml:space="preserve">电子签证</t>
  </si>
  <si>
    <t xml:space="preserve">会安</t>
  </si>
  <si>
    <t xml:space="preserve">会安古城</t>
  </si>
  <si>
    <t xml:space="preserve">Hoi An Ancient Town</t>
  </si>
  <si>
    <r>
      <rPr>
        <sz val="9"/>
        <rFont val="Arial"/>
        <family val="0"/>
        <charset val="1"/>
      </rPr>
      <t xml:space="preserve">2-5</t>
    </r>
    <r>
      <rPr>
        <sz val="9"/>
        <rFont val="Noto Sans CJK SC"/>
        <family val="2"/>
      </rPr>
      <t xml:space="preserve">月</t>
    </r>
  </si>
  <si>
    <t xml:space="preserve">岘港</t>
  </si>
  <si>
    <r>
      <rPr>
        <b val="true"/>
        <sz val="9"/>
        <rFont val="Noto Sans CJK SC"/>
        <family val="2"/>
      </rPr>
      <t xml:space="preserve">巴拿山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金桥</t>
    </r>
  </si>
  <si>
    <t xml:space="preserve">Ba Na Hills &amp; Golden Bridge</t>
  </si>
  <si>
    <t xml:space="preserve">现代景观</t>
  </si>
  <si>
    <t xml:space="preserve">顺化</t>
  </si>
  <si>
    <t xml:space="preserve">顺化皇城</t>
  </si>
  <si>
    <t xml:space="preserve">Hue Imperial Citadel</t>
  </si>
  <si>
    <t xml:space="preserve">胡志明市</t>
  </si>
  <si>
    <t xml:space="preserve">古芝地道</t>
  </si>
  <si>
    <t xml:space="preserve">Cu Chi Tunnels</t>
  </si>
  <si>
    <t xml:space="preserve">历史军事</t>
  </si>
  <si>
    <t xml:space="preserve">宁平</t>
  </si>
  <si>
    <t xml:space="preserve">长安名胜群</t>
  </si>
  <si>
    <t xml:space="preserve">Trang An Scenic Landscape</t>
  </si>
  <si>
    <t xml:space="preserve">自然山水</t>
  </si>
  <si>
    <r>
      <rPr>
        <sz val="9"/>
        <rFont val="Noto Sans CJK SC"/>
        <family val="2"/>
      </rPr>
      <t xml:space="preserve">沙巴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越南</t>
    </r>
    <r>
      <rPr>
        <sz val="9"/>
        <rFont val="Arial"/>
        <family val="0"/>
        <charset val="1"/>
      </rPr>
      <t xml:space="preserve">)</t>
    </r>
  </si>
  <si>
    <t xml:space="preserve">沙巴梯田</t>
  </si>
  <si>
    <t xml:space="preserve">Sapa Rice Terraces</t>
  </si>
  <si>
    <t xml:space="preserve">自然人文</t>
  </si>
  <si>
    <r>
      <rPr>
        <sz val="9"/>
        <rFont val="Arial"/>
        <family val="0"/>
        <charset val="1"/>
      </rPr>
      <t xml:space="preserve">9-11</t>
    </r>
    <r>
      <rPr>
        <sz val="9"/>
        <rFont val="Noto Sans CJK SC"/>
        <family val="2"/>
      </rPr>
      <t xml:space="preserve">月</t>
    </r>
  </si>
  <si>
    <t xml:space="preserve">富国岛</t>
  </si>
  <si>
    <t xml:space="preserve">Phu Quoc Island</t>
  </si>
  <si>
    <t xml:space="preserve">印尼</t>
  </si>
  <si>
    <t xml:space="preserve">巴厘岛</t>
  </si>
  <si>
    <r>
      <rPr>
        <b val="true"/>
        <sz val="9"/>
        <rFont val="Noto Sans CJK SC"/>
        <family val="2"/>
      </rPr>
      <t xml:space="preserve">乌布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海神庙</t>
    </r>
  </si>
  <si>
    <t xml:space="preserve">Ubud &amp; Tanah Lot, Bali</t>
  </si>
  <si>
    <t xml:space="preserve">文化海岛</t>
  </si>
  <si>
    <t xml:space="preserve">旱季</t>
  </si>
  <si>
    <r>
      <rPr>
        <b val="true"/>
        <sz val="9"/>
        <rFont val="Noto Sans CJK SC"/>
        <family val="2"/>
      </rPr>
      <t xml:space="preserve">库塔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水明漾</t>
    </r>
  </si>
  <si>
    <t xml:space="preserve">Kuta &amp; Seminyak, Bali</t>
  </si>
  <si>
    <t xml:space="preserve">海滨度假</t>
  </si>
  <si>
    <t xml:space="preserve">日惹</t>
  </si>
  <si>
    <t xml:space="preserve">婆罗浮屠</t>
  </si>
  <si>
    <t xml:space="preserve">Borobudur Temple</t>
  </si>
  <si>
    <r>
      <rPr>
        <sz val="9"/>
        <rFont val="Arial"/>
        <family val="0"/>
        <charset val="1"/>
      </rPr>
      <t xml:space="preserve">5-9</t>
    </r>
    <r>
      <rPr>
        <sz val="9"/>
        <rFont val="Noto Sans CJK SC"/>
        <family val="2"/>
      </rPr>
      <t xml:space="preserve">月</t>
    </r>
  </si>
  <si>
    <t xml:space="preserve">普兰巴南神庙</t>
  </si>
  <si>
    <t xml:space="preserve">Prambanan Temple</t>
  </si>
  <si>
    <t xml:space="preserve">科莫多</t>
  </si>
  <si>
    <t xml:space="preserve">科莫多国家公园</t>
  </si>
  <si>
    <t xml:space="preserve">Komodo National Park</t>
  </si>
  <si>
    <t xml:space="preserve">自然生态</t>
  </si>
  <si>
    <r>
      <rPr>
        <sz val="9"/>
        <rFont val="Arial"/>
        <family val="0"/>
        <charset val="1"/>
      </rPr>
      <t xml:space="preserve">4-11</t>
    </r>
    <r>
      <rPr>
        <sz val="9"/>
        <rFont val="Noto Sans CJK SC"/>
        <family val="2"/>
      </rPr>
      <t xml:space="preserve">月</t>
    </r>
  </si>
  <si>
    <t xml:space="preserve">拉贾安帕</t>
  </si>
  <si>
    <t xml:space="preserve">拉贾安帕群岛</t>
  </si>
  <si>
    <t xml:space="preserve">Raja Ampat Islands</t>
  </si>
  <si>
    <t xml:space="preserve">海洋潜水</t>
  </si>
  <si>
    <t xml:space="preserve">菲律宾</t>
  </si>
  <si>
    <t xml:space="preserve">长滩岛</t>
  </si>
  <si>
    <t xml:space="preserve">长滩岛白沙滩</t>
  </si>
  <si>
    <t xml:space="preserve">Boracay White Beach</t>
  </si>
  <si>
    <r>
      <rPr>
        <b val="true"/>
        <sz val="8"/>
        <color rgb="FF006600"/>
        <rFont val="Noto Sans CJK SC"/>
        <family val="2"/>
      </rPr>
      <t xml:space="preserve">免签</t>
    </r>
    <r>
      <rPr>
        <b val="true"/>
        <sz val="8"/>
        <color rgb="FF006600"/>
        <rFont val="Arial"/>
        <family val="0"/>
        <charset val="1"/>
      </rPr>
      <t xml:space="preserve">14</t>
    </r>
    <r>
      <rPr>
        <b val="true"/>
        <sz val="8"/>
        <color rgb="FF006600"/>
        <rFont val="Noto Sans CJK SC"/>
        <family val="2"/>
      </rPr>
      <t xml:space="preserve">天</t>
    </r>
  </si>
  <si>
    <r>
      <rPr>
        <sz val="9"/>
        <rFont val="Arial"/>
        <family val="0"/>
        <charset val="1"/>
      </rPr>
      <t xml:space="preserve">11-5</t>
    </r>
    <r>
      <rPr>
        <sz val="9"/>
        <rFont val="Noto Sans CJK SC"/>
        <family val="2"/>
      </rPr>
      <t xml:space="preserve">月</t>
    </r>
  </si>
  <si>
    <t xml:space="preserve">巴拉望</t>
  </si>
  <si>
    <t xml:space="preserve">爱妮岛</t>
  </si>
  <si>
    <t xml:space="preserve">El Nido, Palawan</t>
  </si>
  <si>
    <t xml:space="preserve">海岛探险</t>
  </si>
  <si>
    <r>
      <rPr>
        <sz val="9"/>
        <rFont val="Arial"/>
        <family val="0"/>
        <charset val="1"/>
      </rPr>
      <t xml:space="preserve">12-5</t>
    </r>
    <r>
      <rPr>
        <sz val="9"/>
        <rFont val="Noto Sans CJK SC"/>
        <family val="2"/>
      </rPr>
      <t xml:space="preserve">月</t>
    </r>
  </si>
  <si>
    <t xml:space="preserve">薄荷岛</t>
  </si>
  <si>
    <r>
      <rPr>
        <b val="true"/>
        <sz val="9"/>
        <rFont val="Noto Sans CJK SC"/>
        <family val="2"/>
      </rPr>
      <t xml:space="preserve">巧克力山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眼镜猴保护区</t>
    </r>
  </si>
  <si>
    <t xml:space="preserve">Chocolate Hills &amp; Tarsier</t>
  </si>
  <si>
    <t xml:space="preserve">宿务</t>
  </si>
  <si>
    <r>
      <rPr>
        <b val="true"/>
        <sz val="9"/>
        <rFont val="Noto Sans CJK SC"/>
        <family val="2"/>
      </rPr>
      <t xml:space="preserve">奥斯洛布鲸鲨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嘉华山瀑布</t>
    </r>
  </si>
  <si>
    <t xml:space="preserve">Oslob &amp; Kawasan Falls</t>
  </si>
  <si>
    <t xml:space="preserve">海洋瀑布</t>
  </si>
  <si>
    <t xml:space="preserve">马尼拉</t>
  </si>
  <si>
    <r>
      <rPr>
        <b val="true"/>
        <sz val="9"/>
        <rFont val="Noto Sans CJK SC"/>
        <family val="2"/>
      </rPr>
      <t xml:space="preserve">马尼拉老城区</t>
    </r>
    <r>
      <rPr>
        <b val="true"/>
        <sz val="9"/>
        <rFont val="Arial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因特拉穆罗斯</t>
    </r>
    <r>
      <rPr>
        <b val="true"/>
        <sz val="9"/>
        <rFont val="Arial"/>
        <family val="0"/>
        <charset val="1"/>
      </rPr>
      <t xml:space="preserve">)</t>
    </r>
  </si>
  <si>
    <t xml:space="preserve">Intramuros, Manila</t>
  </si>
  <si>
    <t xml:space="preserve">柬埔寨</t>
  </si>
  <si>
    <t xml:space="preserve">暹粒</t>
  </si>
  <si>
    <t xml:space="preserve">吴哥窟</t>
  </si>
  <si>
    <t xml:space="preserve">Angkor Wat</t>
  </si>
  <si>
    <r>
      <rPr>
        <b val="true"/>
        <sz val="8"/>
        <color rgb="FF006600"/>
        <rFont val="Noto Sans CJK SC"/>
        <family val="2"/>
      </rPr>
      <t xml:space="preserve">落地签</t>
    </r>
    <r>
      <rPr>
        <b val="true"/>
        <sz val="8"/>
        <color rgb="FF006600"/>
        <rFont val="Arial"/>
        <family val="0"/>
        <charset val="1"/>
      </rPr>
      <t xml:space="preserve">/</t>
    </r>
    <r>
      <rPr>
        <b val="true"/>
        <sz val="8"/>
        <color rgb="FF006600"/>
        <rFont val="Noto Sans CJK SC"/>
        <family val="2"/>
      </rPr>
      <t xml:space="preserve">电子签</t>
    </r>
  </si>
  <si>
    <t xml:space="preserve">金边</t>
  </si>
  <si>
    <r>
      <rPr>
        <b val="true"/>
        <sz val="9"/>
        <rFont val="Noto Sans CJK SC"/>
        <family val="2"/>
      </rPr>
      <t xml:space="preserve">金边皇宫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银殿</t>
    </r>
  </si>
  <si>
    <t xml:space="preserve">Royal Palace Phnom Penh</t>
  </si>
  <si>
    <t xml:space="preserve">西哈努克</t>
  </si>
  <si>
    <r>
      <rPr>
        <b val="true"/>
        <sz val="9"/>
        <rFont val="Noto Sans CJK SC"/>
        <family val="2"/>
      </rPr>
      <t xml:space="preserve">西哈努克港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高龙岛</t>
    </r>
  </si>
  <si>
    <t xml:space="preserve">Sihanoukville &amp; Koh Rong</t>
  </si>
  <si>
    <t xml:space="preserve">老挝</t>
  </si>
  <si>
    <t xml:space="preserve">琅勃拉邦</t>
  </si>
  <si>
    <t xml:space="preserve">琅勃拉邦古城</t>
  </si>
  <si>
    <t xml:space="preserve">Luang Prabang</t>
  </si>
  <si>
    <t xml:space="preserve">落地签</t>
  </si>
  <si>
    <t xml:space="preserve">万象</t>
  </si>
  <si>
    <r>
      <rPr>
        <b val="true"/>
        <sz val="9"/>
        <rFont val="Noto Sans CJK SC"/>
        <family val="2"/>
      </rPr>
      <t xml:space="preserve">塔銮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佛像公园</t>
    </r>
  </si>
  <si>
    <t xml:space="preserve">Pha That Luang &amp; Buddha Park</t>
  </si>
  <si>
    <t xml:space="preserve">缅甸</t>
  </si>
  <si>
    <t xml:space="preserve">蒲甘</t>
  </si>
  <si>
    <t xml:space="preserve">蒲甘古城</t>
  </si>
  <si>
    <t xml:space="preserve">Bagan Ancient City</t>
  </si>
  <si>
    <t xml:space="preserve">仰光</t>
  </si>
  <si>
    <t xml:space="preserve">大金塔</t>
  </si>
  <si>
    <t xml:space="preserve">Shwedagon Pagoda</t>
  </si>
  <si>
    <t xml:space="preserve">文莱</t>
  </si>
  <si>
    <t xml:space="preserve">斯里巴加湾</t>
  </si>
  <si>
    <r>
      <rPr>
        <b val="true"/>
        <sz val="9"/>
        <rFont val="Noto Sans CJK SC"/>
        <family val="2"/>
      </rPr>
      <t xml:space="preserve">奥马尔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阿里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赛义夫丁清真寺</t>
    </r>
  </si>
  <si>
    <t xml:space="preserve">Omar Ali Saifuddien Mosque</t>
  </si>
  <si>
    <t xml:space="preserve">宗教建筑</t>
  </si>
  <si>
    <t xml:space="preserve">大洋洲</t>
  </si>
  <si>
    <t xml:space="preserve">澳大利亚</t>
  </si>
  <si>
    <t xml:space="preserve">悉尼</t>
  </si>
  <si>
    <r>
      <rPr>
        <b val="true"/>
        <sz val="9"/>
        <rFont val="Noto Sans CJK SC"/>
        <family val="2"/>
      </rPr>
      <t xml:space="preserve">悉尼歌剧院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海港大桥</t>
    </r>
  </si>
  <si>
    <t xml:space="preserve">Sydney Opera House &amp; Harbour Bridge</t>
  </si>
  <si>
    <r>
      <rPr>
        <b val="true"/>
        <sz val="8"/>
        <color rgb="FF006600"/>
        <rFont val="Noto Sans CJK SC"/>
        <family val="2"/>
      </rPr>
      <t xml:space="preserve">需签证</t>
    </r>
    <r>
      <rPr>
        <b val="true"/>
        <sz val="8"/>
        <color rgb="FF006600"/>
        <rFont val="Arial"/>
        <family val="0"/>
        <charset val="1"/>
      </rPr>
      <t xml:space="preserve">(ETA)</t>
    </r>
  </si>
  <si>
    <r>
      <rPr>
        <sz val="9"/>
        <rFont val="Arial"/>
        <family val="0"/>
        <charset val="1"/>
      </rPr>
      <t xml:space="preserve">9-11</t>
    </r>
    <r>
      <rPr>
        <sz val="9"/>
        <rFont val="Noto Sans CJK SC"/>
        <family val="2"/>
      </rPr>
      <t xml:space="preserve">月</t>
    </r>
    <r>
      <rPr>
        <sz val="9"/>
        <rFont val="Arial"/>
        <family val="0"/>
        <charset val="1"/>
      </rPr>
      <t xml:space="preserve">/3-5</t>
    </r>
    <r>
      <rPr>
        <sz val="9"/>
        <rFont val="Noto Sans CJK SC"/>
        <family val="2"/>
      </rPr>
      <t xml:space="preserve">月</t>
    </r>
  </si>
  <si>
    <t xml:space="preserve">墨尔本</t>
  </si>
  <si>
    <t xml:space="preserve">大洋路十二门徒</t>
  </si>
  <si>
    <t xml:space="preserve">Great Ocean Road</t>
  </si>
  <si>
    <t xml:space="preserve">自然海岸</t>
  </si>
  <si>
    <r>
      <rPr>
        <sz val="9"/>
        <rFont val="Arial"/>
        <family val="0"/>
        <charset val="1"/>
      </rPr>
      <t xml:space="preserve">12-4</t>
    </r>
    <r>
      <rPr>
        <sz val="9"/>
        <rFont val="Noto Sans CJK SC"/>
        <family val="2"/>
      </rPr>
      <t xml:space="preserve">月</t>
    </r>
  </si>
  <si>
    <t xml:space="preserve">凯恩斯</t>
  </si>
  <si>
    <t xml:space="preserve">大堡礁</t>
  </si>
  <si>
    <t xml:space="preserve">Great Barrier Reef</t>
  </si>
  <si>
    <t xml:space="preserve">海洋生态</t>
  </si>
  <si>
    <t xml:space="preserve">乌鲁鲁</t>
  </si>
  <si>
    <r>
      <rPr>
        <b val="true"/>
        <sz val="9"/>
        <rFont val="Noto Sans CJK SC"/>
        <family val="2"/>
      </rPr>
      <t xml:space="preserve">乌鲁鲁</t>
    </r>
    <r>
      <rPr>
        <b val="true"/>
        <sz val="9"/>
        <rFont val="Arial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艾尔斯岩</t>
    </r>
    <r>
      <rPr>
        <b val="true"/>
        <sz val="9"/>
        <rFont val="Arial"/>
        <family val="0"/>
        <charset val="1"/>
      </rPr>
      <t xml:space="preserve">)</t>
    </r>
  </si>
  <si>
    <t xml:space="preserve">Uluru (Ayers Rock)</t>
  </si>
  <si>
    <t xml:space="preserve">自然地标</t>
  </si>
  <si>
    <t xml:space="preserve">塔斯马尼亚</t>
  </si>
  <si>
    <t xml:space="preserve">摇篮山</t>
  </si>
  <si>
    <t xml:space="preserve">Cradle Mountain, Tasmania</t>
  </si>
  <si>
    <t xml:space="preserve">黄金海岸</t>
  </si>
  <si>
    <t xml:space="preserve">黄金海岸冲浪者天堂</t>
  </si>
  <si>
    <t xml:space="preserve">Surfers Paradise, Gold Coast</t>
  </si>
  <si>
    <r>
      <rPr>
        <sz val="9"/>
        <rFont val="Arial"/>
        <family val="0"/>
        <charset val="1"/>
      </rPr>
      <t xml:space="preserve">9-4</t>
    </r>
    <r>
      <rPr>
        <sz val="9"/>
        <rFont val="Noto Sans CJK SC"/>
        <family val="2"/>
      </rPr>
      <t xml:space="preserve">月</t>
    </r>
  </si>
  <si>
    <t xml:space="preserve">阿德莱德</t>
  </si>
  <si>
    <t xml:space="preserve">巴罗莎谷酒庄</t>
  </si>
  <si>
    <t xml:space="preserve">Barossa Valley Wineries</t>
  </si>
  <si>
    <t xml:space="preserve">葡萄酒庄</t>
  </si>
  <si>
    <t xml:space="preserve">堪培拉</t>
  </si>
  <si>
    <t xml:space="preserve">国家战争纪念馆</t>
  </si>
  <si>
    <t xml:space="preserve">Australian War Memorial</t>
  </si>
  <si>
    <t xml:space="preserve">历史纪念</t>
  </si>
  <si>
    <t xml:space="preserve">达尔文</t>
  </si>
  <si>
    <t xml:space="preserve">卡卡杜国家公园</t>
  </si>
  <si>
    <t xml:space="preserve">Kakadu National Park</t>
  </si>
  <si>
    <r>
      <rPr>
        <sz val="9"/>
        <rFont val="Arial"/>
        <family val="0"/>
        <charset val="1"/>
      </rPr>
      <t xml:space="preserve">5-10</t>
    </r>
    <r>
      <rPr>
        <sz val="9"/>
        <rFont val="Noto Sans CJK SC"/>
        <family val="2"/>
      </rPr>
      <t xml:space="preserve">月</t>
    </r>
  </si>
  <si>
    <t xml:space="preserve">珀斯</t>
  </si>
  <si>
    <t xml:space="preserve">罗特尼斯岛</t>
  </si>
  <si>
    <t xml:space="preserve">Rottnest Island, Perth</t>
  </si>
  <si>
    <t xml:space="preserve">海岛生态</t>
  </si>
  <si>
    <t xml:space="preserve">蓝山国家公园</t>
  </si>
  <si>
    <t xml:space="preserve">Blue Mountains</t>
  </si>
  <si>
    <t xml:space="preserve">圣灵群岛</t>
  </si>
  <si>
    <t xml:space="preserve">白天堂海滩</t>
  </si>
  <si>
    <t xml:space="preserve">Whitehaven Beach</t>
  </si>
  <si>
    <t xml:space="preserve">海岛海滩</t>
  </si>
  <si>
    <t xml:space="preserve">新西兰</t>
  </si>
  <si>
    <t xml:space="preserve">皇后镇</t>
  </si>
  <si>
    <r>
      <rPr>
        <b val="true"/>
        <sz val="9"/>
        <rFont val="Noto Sans CJK SC"/>
        <family val="2"/>
      </rPr>
      <t xml:space="preserve">皇后镇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米尔福德峡湾</t>
    </r>
  </si>
  <si>
    <t xml:space="preserve">Queenstown &amp; Milford Sound</t>
  </si>
  <si>
    <r>
      <rPr>
        <b val="true"/>
        <sz val="8"/>
        <color rgb="FF006600"/>
        <rFont val="Noto Sans CJK SC"/>
        <family val="2"/>
      </rPr>
      <t xml:space="preserve">需签证</t>
    </r>
    <r>
      <rPr>
        <b val="true"/>
        <sz val="8"/>
        <color rgb="FF006600"/>
        <rFont val="Arial"/>
        <family val="0"/>
        <charset val="1"/>
      </rPr>
      <t xml:space="preserve">(NZeTA)</t>
    </r>
  </si>
  <si>
    <t xml:space="preserve">罗托鲁瓦</t>
  </si>
  <si>
    <t xml:space="preserve">罗托鲁瓦地热</t>
  </si>
  <si>
    <t xml:space="preserve">Rotorua Geothermal</t>
  </si>
  <si>
    <t xml:space="preserve">自然地热</t>
  </si>
  <si>
    <t xml:space="preserve">奥克兰</t>
  </si>
  <si>
    <t xml:space="preserve">怀赫科岛</t>
  </si>
  <si>
    <t xml:space="preserve">Waiheke Island</t>
  </si>
  <si>
    <t xml:space="preserve">海岛酒庄</t>
  </si>
  <si>
    <t xml:space="preserve">南岛</t>
  </si>
  <si>
    <t xml:space="preserve">库克山国家公园</t>
  </si>
  <si>
    <t xml:space="preserve">Aoraki/Mt Cook NP</t>
  </si>
  <si>
    <r>
      <rPr>
        <b val="true"/>
        <sz val="9"/>
        <rFont val="Noto Sans CJK SC"/>
        <family val="2"/>
      </rPr>
      <t xml:space="preserve">瓦纳卡湖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蒂卡波湖</t>
    </r>
  </si>
  <si>
    <t xml:space="preserve">Lake Wanaka &amp; Tekapo</t>
  </si>
  <si>
    <t xml:space="preserve">自然湖泊</t>
  </si>
  <si>
    <t xml:space="preserve">北岛</t>
  </si>
  <si>
    <t xml:space="preserve">霍比特人村</t>
  </si>
  <si>
    <t xml:space="preserve">Hobbiton, Matamata</t>
  </si>
  <si>
    <t xml:space="preserve">影视主题</t>
  </si>
  <si>
    <t xml:space="preserve">弗朗茨约瑟夫冰川</t>
  </si>
  <si>
    <t xml:space="preserve">Franz Josef Glacier</t>
  </si>
  <si>
    <t xml:space="preserve">冰川探险</t>
  </si>
  <si>
    <t xml:space="preserve">汤加里罗</t>
  </si>
  <si>
    <t xml:space="preserve">汤加里罗国家公园</t>
  </si>
  <si>
    <t xml:space="preserve">Tongariro National Park</t>
  </si>
  <si>
    <t xml:space="preserve">自然火山</t>
  </si>
  <si>
    <t xml:space="preserve">西亚</t>
  </si>
  <si>
    <t xml:space="preserve">阿联酋</t>
  </si>
  <si>
    <t xml:space="preserve">迪拜</t>
  </si>
  <si>
    <r>
      <rPr>
        <b val="true"/>
        <sz val="9"/>
        <rFont val="Noto Sans CJK SC"/>
        <family val="2"/>
      </rPr>
      <t xml:space="preserve">哈利法塔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迪拜购物中心</t>
    </r>
  </si>
  <si>
    <t xml:space="preserve">Burj Khalifa &amp; Dubai Mall</t>
  </si>
  <si>
    <t xml:space="preserve">现代地标</t>
  </si>
  <si>
    <r>
      <rPr>
        <b val="true"/>
        <sz val="9"/>
        <rFont val="Noto Sans CJK SC"/>
        <family val="2"/>
      </rPr>
      <t xml:space="preserve">棕榈岛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帆船酒店</t>
    </r>
  </si>
  <si>
    <t xml:space="preserve">Palm Jumeirah &amp; Burj Al Arab</t>
  </si>
  <si>
    <t xml:space="preserve">城市奢华</t>
  </si>
  <si>
    <t xml:space="preserve">阿布扎比</t>
  </si>
  <si>
    <t xml:space="preserve">谢赫扎耶德大清真寺</t>
  </si>
  <si>
    <t xml:space="preserve">Sheikh Zayed Grand Mosque</t>
  </si>
  <si>
    <t xml:space="preserve">卢浮宫阿布扎比</t>
  </si>
  <si>
    <t xml:space="preserve">Louvre Abu Dhabi</t>
  </si>
  <si>
    <t xml:space="preserve">艺术博物馆</t>
  </si>
  <si>
    <t xml:space="preserve">迪拜沙漠保护区</t>
  </si>
  <si>
    <t xml:space="preserve">Dubai Desert Conservation</t>
  </si>
  <si>
    <t xml:space="preserve">沙漠体验</t>
  </si>
  <si>
    <t xml:space="preserve">土耳其</t>
  </si>
  <si>
    <t xml:space="preserve">伊斯坦布尔</t>
  </si>
  <si>
    <r>
      <rPr>
        <b val="true"/>
        <sz val="9"/>
        <rFont val="Noto Sans CJK SC"/>
        <family val="2"/>
      </rPr>
      <t xml:space="preserve">圣索菲亚大教堂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蓝色清真寺</t>
    </r>
  </si>
  <si>
    <t xml:space="preserve">Hagia Sophia &amp; Blue Mosque</t>
  </si>
  <si>
    <r>
      <rPr>
        <b val="true"/>
        <sz val="8"/>
        <color rgb="FF006600"/>
        <rFont val="Noto Sans CJK SC"/>
        <family val="2"/>
      </rPr>
      <t xml:space="preserve">免签</t>
    </r>
    <r>
      <rPr>
        <b val="true"/>
        <sz val="8"/>
        <color rgb="FF006600"/>
        <rFont val="Arial"/>
        <family val="0"/>
        <charset val="1"/>
      </rPr>
      <t xml:space="preserve">90</t>
    </r>
    <r>
      <rPr>
        <b val="true"/>
        <sz val="8"/>
        <color rgb="FF006600"/>
        <rFont val="Noto Sans CJK SC"/>
        <family val="2"/>
      </rPr>
      <t xml:space="preserve">天</t>
    </r>
  </si>
  <si>
    <r>
      <rPr>
        <sz val="9"/>
        <rFont val="Arial"/>
        <family val="0"/>
        <charset val="1"/>
      </rPr>
      <t xml:space="preserve">4-6</t>
    </r>
    <r>
      <rPr>
        <sz val="9"/>
        <rFont val="Noto Sans CJK SC"/>
        <family val="2"/>
      </rPr>
      <t xml:space="preserve">月</t>
    </r>
    <r>
      <rPr>
        <sz val="9"/>
        <rFont val="Arial"/>
        <family val="0"/>
        <charset val="1"/>
      </rPr>
      <t xml:space="preserve">/9-11</t>
    </r>
    <r>
      <rPr>
        <sz val="9"/>
        <rFont val="Noto Sans CJK SC"/>
        <family val="2"/>
      </rPr>
      <t xml:space="preserve">月</t>
    </r>
  </si>
  <si>
    <t xml:space="preserve">卡帕多奇亚</t>
  </si>
  <si>
    <r>
      <rPr>
        <b val="true"/>
        <sz val="9"/>
        <rFont val="Noto Sans CJK SC"/>
        <family val="2"/>
      </rPr>
      <t xml:space="preserve">卡帕多奇亚热气球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洞穴酒店</t>
    </r>
  </si>
  <si>
    <t xml:space="preserve">Cappadocia</t>
  </si>
  <si>
    <r>
      <rPr>
        <sz val="9"/>
        <rFont val="Arial"/>
        <family val="0"/>
        <charset val="1"/>
      </rPr>
      <t xml:space="preserve">4-6</t>
    </r>
    <r>
      <rPr>
        <sz val="9"/>
        <rFont val="Noto Sans CJK SC"/>
        <family val="2"/>
      </rPr>
      <t xml:space="preserve">月</t>
    </r>
    <r>
      <rPr>
        <sz val="9"/>
        <rFont val="Arial"/>
        <family val="0"/>
        <charset val="1"/>
      </rPr>
      <t xml:space="preserve">/9-10</t>
    </r>
    <r>
      <rPr>
        <sz val="9"/>
        <rFont val="Noto Sans CJK SC"/>
        <family val="2"/>
      </rPr>
      <t xml:space="preserve">月</t>
    </r>
  </si>
  <si>
    <t xml:space="preserve">棉花堡</t>
  </si>
  <si>
    <r>
      <rPr>
        <b val="true"/>
        <sz val="9"/>
        <rFont val="Noto Sans CJK SC"/>
        <family val="2"/>
      </rPr>
      <t xml:space="preserve">棉花堡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希拉波利斯古城</t>
    </r>
  </si>
  <si>
    <t xml:space="preserve">Pamukkale &amp; Hierapolis</t>
  </si>
  <si>
    <t xml:space="preserve">安塔利亚</t>
  </si>
  <si>
    <r>
      <rPr>
        <b val="true"/>
        <sz val="9"/>
        <rFont val="Noto Sans CJK SC"/>
        <family val="2"/>
      </rPr>
      <t xml:space="preserve">安塔利亚老城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地中海海滩</t>
    </r>
  </si>
  <si>
    <t xml:space="preserve">Antalya Old Town &amp; Beach</t>
  </si>
  <si>
    <t xml:space="preserve">海滨历史</t>
  </si>
  <si>
    <t xml:space="preserve">以弗所</t>
  </si>
  <si>
    <t xml:space="preserve">以弗所古城</t>
  </si>
  <si>
    <t xml:space="preserve">Ephesus Ancient City</t>
  </si>
  <si>
    <r>
      <rPr>
        <b val="true"/>
        <sz val="9"/>
        <rFont val="Noto Sans CJK SC"/>
        <family val="2"/>
      </rPr>
      <t xml:space="preserve">大巴扎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加拉太塔</t>
    </r>
  </si>
  <si>
    <t xml:space="preserve">Grand Bazaar &amp; Galata Tower</t>
  </si>
  <si>
    <t xml:space="preserve">历史商业</t>
  </si>
  <si>
    <t xml:space="preserve">费特希耶</t>
  </si>
  <si>
    <t xml:space="preserve">厄吕代尼兹蓝色泻湖</t>
  </si>
  <si>
    <t xml:space="preserve">Oludeniz Blue Lagoon</t>
  </si>
  <si>
    <r>
      <rPr>
        <sz val="9"/>
        <rFont val="Arial"/>
        <family val="0"/>
        <charset val="1"/>
      </rPr>
      <t xml:space="preserve">6-9</t>
    </r>
    <r>
      <rPr>
        <sz val="9"/>
        <rFont val="Noto Sans CJK SC"/>
        <family val="2"/>
      </rPr>
      <t xml:space="preserve">月</t>
    </r>
  </si>
  <si>
    <t xml:space="preserve">番红花城</t>
  </si>
  <si>
    <t xml:space="preserve">Safranbolu</t>
  </si>
  <si>
    <t xml:space="preserve">历史古城</t>
  </si>
  <si>
    <t xml:space="preserve">沙特</t>
  </si>
  <si>
    <t xml:space="preserve">利雅得</t>
  </si>
  <si>
    <t xml:space="preserve">德拉伊耶历史区</t>
  </si>
  <si>
    <t xml:space="preserve">Ad Diriyah, Riyadh</t>
  </si>
  <si>
    <t xml:space="preserve">吉达</t>
  </si>
  <si>
    <r>
      <rPr>
        <b val="true"/>
        <sz val="9"/>
        <rFont val="Noto Sans CJK SC"/>
        <family val="2"/>
      </rPr>
      <t xml:space="preserve">吉达历史街区</t>
    </r>
    <r>
      <rPr>
        <b val="true"/>
        <sz val="9"/>
        <rFont val="Arial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巴拉德</t>
    </r>
    <r>
      <rPr>
        <b val="true"/>
        <sz val="9"/>
        <rFont val="Arial"/>
        <family val="0"/>
        <charset val="1"/>
      </rPr>
      <t xml:space="preserve">)</t>
    </r>
  </si>
  <si>
    <t xml:space="preserve">Al-Balad, Jeddah</t>
  </si>
  <si>
    <t xml:space="preserve">欧拉</t>
  </si>
  <si>
    <t xml:space="preserve">欧拉古城遗迹</t>
  </si>
  <si>
    <t xml:space="preserve">AlUla Heritage Site</t>
  </si>
  <si>
    <t xml:space="preserve">阿曼</t>
  </si>
  <si>
    <t xml:space="preserve">马斯喀特</t>
  </si>
  <si>
    <t xml:space="preserve">苏丹卡布斯大清真寺</t>
  </si>
  <si>
    <t xml:space="preserve">Sultan Qaboos Grand Mosque</t>
  </si>
  <si>
    <t xml:space="preserve">瓦希巴</t>
  </si>
  <si>
    <t xml:space="preserve">瓦希巴沙漠</t>
  </si>
  <si>
    <t xml:space="preserve">Wahiba Sands Desert</t>
  </si>
  <si>
    <t xml:space="preserve">沙漠探险</t>
  </si>
  <si>
    <t xml:space="preserve">卡塔尔</t>
  </si>
  <si>
    <t xml:space="preserve">多哈</t>
  </si>
  <si>
    <t xml:space="preserve">伊斯兰艺术博物馆</t>
  </si>
  <si>
    <t xml:space="preserve">Museum of Islamic Art</t>
  </si>
  <si>
    <r>
      <rPr>
        <b val="true"/>
        <sz val="9"/>
        <rFont val="Noto Sans CJK SC"/>
        <family val="2"/>
      </rPr>
      <t xml:space="preserve">卡塔拉文化村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珍珠岛</t>
    </r>
  </si>
  <si>
    <t xml:space="preserve">Katara &amp; The Pearl</t>
  </si>
  <si>
    <t xml:space="preserve">文化休闲</t>
  </si>
  <si>
    <t xml:space="preserve">格鲁吉亚</t>
  </si>
  <si>
    <t xml:space="preserve">第比利斯</t>
  </si>
  <si>
    <r>
      <rPr>
        <b val="true"/>
        <sz val="9"/>
        <rFont val="Noto Sans CJK SC"/>
        <family val="2"/>
      </rPr>
      <t xml:space="preserve">第比利斯老城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硫磺浴</t>
    </r>
  </si>
  <si>
    <t xml:space="preserve">Tbilisi Old Town &amp; Sulphur Baths</t>
  </si>
  <si>
    <t xml:space="preserve">历史温泉</t>
  </si>
  <si>
    <t xml:space="preserve">卡兹别吉</t>
  </si>
  <si>
    <r>
      <rPr>
        <b val="true"/>
        <sz val="9"/>
        <rFont val="Noto Sans CJK SC"/>
        <family val="2"/>
      </rPr>
      <t xml:space="preserve">卡兹别吉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三位一体教堂</t>
    </r>
  </si>
  <si>
    <t xml:space="preserve">Kazbegi &amp; Gergeti Trinity</t>
  </si>
  <si>
    <t xml:space="preserve">自然宗教</t>
  </si>
  <si>
    <t xml:space="preserve">西格纳吉</t>
  </si>
  <si>
    <t xml:space="preserve">卡赫季葡萄酒产区</t>
  </si>
  <si>
    <t xml:space="preserve">Kakheti Wine Region</t>
  </si>
  <si>
    <t xml:space="preserve">库塔伊西</t>
  </si>
  <si>
    <r>
      <rPr>
        <b val="true"/>
        <sz val="9"/>
        <rFont val="Noto Sans CJK SC"/>
        <family val="2"/>
      </rPr>
      <t xml:space="preserve">格拉特修道院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普罗米修斯洞</t>
    </r>
  </si>
  <si>
    <t xml:space="preserve">Gelati &amp; Prometheus Cave</t>
  </si>
  <si>
    <t xml:space="preserve">亚美尼亚</t>
  </si>
  <si>
    <t xml:space="preserve">埃里温</t>
  </si>
  <si>
    <r>
      <rPr>
        <b val="true"/>
        <sz val="9"/>
        <rFont val="Noto Sans CJK SC"/>
        <family val="2"/>
      </rPr>
      <t xml:space="preserve">埃里温阶梯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共和国广场</t>
    </r>
  </si>
  <si>
    <t xml:space="preserve">Yerevan Cascade &amp; Republic Sq</t>
  </si>
  <si>
    <t xml:space="preserve">城市文化</t>
  </si>
  <si>
    <t xml:space="preserve">加尔尼</t>
  </si>
  <si>
    <r>
      <rPr>
        <b val="true"/>
        <sz val="9"/>
        <rFont val="Noto Sans CJK SC"/>
        <family val="2"/>
      </rPr>
      <t xml:space="preserve">加尔尼神庙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格加尔德修道院</t>
    </r>
  </si>
  <si>
    <t xml:space="preserve">Garni &amp; Geghard</t>
  </si>
  <si>
    <t xml:space="preserve">中亚</t>
  </si>
  <si>
    <t xml:space="preserve">哈萨克斯坦</t>
  </si>
  <si>
    <t xml:space="preserve">阿拉木图</t>
  </si>
  <si>
    <t xml:space="preserve">恰伦大峡谷</t>
  </si>
  <si>
    <t xml:space="preserve">Charyn Canyon</t>
  </si>
  <si>
    <t xml:space="preserve">自然峡谷</t>
  </si>
  <si>
    <t xml:space="preserve">大阿拉木图湖</t>
  </si>
  <si>
    <t xml:space="preserve">Big Almaty Lake</t>
  </si>
  <si>
    <t xml:space="preserve">阿斯塔纳</t>
  </si>
  <si>
    <r>
      <rPr>
        <b val="true"/>
        <sz val="9"/>
        <rFont val="Noto Sans CJK SC"/>
        <family val="2"/>
      </rPr>
      <t xml:space="preserve">巴伊杰列克观景塔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可汗帐篷</t>
    </r>
  </si>
  <si>
    <t xml:space="preserve">Bayterek &amp; Khan Shatyr</t>
  </si>
  <si>
    <t xml:space="preserve">现代城市</t>
  </si>
  <si>
    <t xml:space="preserve">突厥斯坦</t>
  </si>
  <si>
    <t xml:space="preserve">亚萨维陵墓</t>
  </si>
  <si>
    <t xml:space="preserve">Mausoleum of Yasawi</t>
  </si>
  <si>
    <t xml:space="preserve">乌兹别克斯坦</t>
  </si>
  <si>
    <t xml:space="preserve">撒马尔罕</t>
  </si>
  <si>
    <t xml:space="preserve">雷吉斯坦广场</t>
  </si>
  <si>
    <t xml:space="preserve">Registan Square</t>
  </si>
  <si>
    <t xml:space="preserve">布哈拉</t>
  </si>
  <si>
    <t xml:space="preserve">布哈拉古城</t>
  </si>
  <si>
    <t xml:space="preserve">Bukhara Historic Centre</t>
  </si>
  <si>
    <t xml:space="preserve">希瓦</t>
  </si>
  <si>
    <r>
      <rPr>
        <b val="true"/>
        <sz val="9"/>
        <rFont val="Noto Sans CJK SC"/>
        <family val="2"/>
      </rPr>
      <t xml:space="preserve">伊钦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卡拉内城</t>
    </r>
  </si>
  <si>
    <t xml:space="preserve">Itchan Kala, Khiva</t>
  </si>
  <si>
    <t xml:space="preserve">塔什干</t>
  </si>
  <si>
    <t xml:space="preserve">哈兹拉提伊玛目广场</t>
  </si>
  <si>
    <t xml:space="preserve">Khast Imom Complex, Tashkent</t>
  </si>
  <si>
    <t xml:space="preserve">努拉塔</t>
  </si>
  <si>
    <t xml:space="preserve">艾达尔库尔湖</t>
  </si>
  <si>
    <t xml:space="preserve">Aydarkul Lake</t>
  </si>
  <si>
    <t xml:space="preserve">吉尔吉斯斯坦</t>
  </si>
  <si>
    <t xml:space="preserve">比什凯克</t>
  </si>
  <si>
    <t xml:space="preserve">阿拉阿查国家公园</t>
  </si>
  <si>
    <t xml:space="preserve">Ala Archa National Park</t>
  </si>
  <si>
    <t xml:space="preserve">伊塞克湖</t>
  </si>
  <si>
    <t xml:space="preserve">Issyk-Kul Lake</t>
  </si>
  <si>
    <t xml:space="preserve">宋库勒</t>
  </si>
  <si>
    <t xml:space="preserve">宋库勒湖</t>
  </si>
  <si>
    <t xml:space="preserve">Song-Kul Lake</t>
  </si>
  <si>
    <t xml:space="preserve">高山湖泊</t>
  </si>
  <si>
    <t xml:space="preserve">东欧</t>
  </si>
  <si>
    <t xml:space="preserve">塞尔维亚</t>
  </si>
  <si>
    <t xml:space="preserve">贝尔格莱德</t>
  </si>
  <si>
    <r>
      <rPr>
        <b val="true"/>
        <sz val="9"/>
        <rFont val="Noto Sans CJK SC"/>
        <family val="2"/>
      </rPr>
      <t xml:space="preserve">贝尔格莱德要塞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圣萨瓦教堂</t>
    </r>
  </si>
  <si>
    <t xml:space="preserve">Belgrade Fortress &amp; St Sava</t>
  </si>
  <si>
    <t xml:space="preserve">诺维萨德</t>
  </si>
  <si>
    <t xml:space="preserve">彼得罗瓦拉丁要塞</t>
  </si>
  <si>
    <t xml:space="preserve">Petrovaradin Fortress</t>
  </si>
  <si>
    <t xml:space="preserve">历史要塞</t>
  </si>
  <si>
    <t xml:space="preserve">兹拉蒂博尔</t>
  </si>
  <si>
    <r>
      <rPr>
        <b val="true"/>
        <sz val="9"/>
        <rFont val="Noto Sans CJK SC"/>
        <family val="2"/>
      </rPr>
      <t xml:space="preserve">木头村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萨尔甘八号铁路</t>
    </r>
  </si>
  <si>
    <t xml:space="preserve">Drvengrad &amp; Sargan Eight</t>
  </si>
  <si>
    <t xml:space="preserve">文化遗产</t>
  </si>
  <si>
    <t xml:space="preserve">波黑</t>
  </si>
  <si>
    <t xml:space="preserve">萨拉热窝</t>
  </si>
  <si>
    <t xml:space="preserve">巴什察尔希亚老城</t>
  </si>
  <si>
    <t xml:space="preserve">Bascarsija, Sarajevo</t>
  </si>
  <si>
    <t xml:space="preserve">莫斯塔尔</t>
  </si>
  <si>
    <t xml:space="preserve">莫斯塔尔老桥</t>
  </si>
  <si>
    <t xml:space="preserve">Stari Most, Mostar</t>
  </si>
  <si>
    <t xml:space="preserve">历史建筑</t>
  </si>
  <si>
    <t xml:space="preserve">特拉夫尼克</t>
  </si>
  <si>
    <t xml:space="preserve">特拉夫尼克古堡</t>
  </si>
  <si>
    <t xml:space="preserve">Travnik Fortress</t>
  </si>
  <si>
    <t xml:space="preserve">黑山</t>
  </si>
  <si>
    <t xml:space="preserve">科托尔</t>
  </si>
  <si>
    <r>
      <rPr>
        <b val="true"/>
        <sz val="9"/>
        <rFont val="Noto Sans CJK SC"/>
        <family val="2"/>
      </rPr>
      <t xml:space="preserve">科托尔古城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海湾</t>
    </r>
  </si>
  <si>
    <t xml:space="preserve">Kotor Old Town &amp; Bay</t>
  </si>
  <si>
    <t xml:space="preserve">历史海湾</t>
  </si>
  <si>
    <t xml:space="preserve">布德瓦</t>
  </si>
  <si>
    <r>
      <rPr>
        <b val="true"/>
        <sz val="9"/>
        <rFont val="Noto Sans CJK SC"/>
        <family val="2"/>
      </rPr>
      <t xml:space="preserve">布德瓦老城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海滩</t>
    </r>
  </si>
  <si>
    <t xml:space="preserve">Budva Old Town &amp; Beaches</t>
  </si>
  <si>
    <t xml:space="preserve">杜米托尔</t>
  </si>
  <si>
    <t xml:space="preserve">杜米托尔国家公园</t>
  </si>
  <si>
    <t xml:space="preserve">Durmitor National Park</t>
  </si>
  <si>
    <t xml:space="preserve">北马其顿</t>
  </si>
  <si>
    <t xml:space="preserve">奥赫里德</t>
  </si>
  <si>
    <r>
      <rPr>
        <b val="true"/>
        <sz val="9"/>
        <rFont val="Noto Sans CJK SC"/>
        <family val="2"/>
      </rPr>
      <t xml:space="preserve">奥赫里德湖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老城</t>
    </r>
  </si>
  <si>
    <t xml:space="preserve">Lake Ohrid &amp; Old Town</t>
  </si>
  <si>
    <t xml:space="preserve">自然文化</t>
  </si>
  <si>
    <r>
      <rPr>
        <b val="true"/>
        <sz val="8"/>
        <color rgb="FF006600"/>
        <rFont val="Noto Sans CJK SC"/>
        <family val="2"/>
      </rPr>
      <t xml:space="preserve">免签</t>
    </r>
    <r>
      <rPr>
        <b val="true"/>
        <sz val="8"/>
        <color rgb="FF006600"/>
        <rFont val="Arial"/>
        <family val="0"/>
        <charset val="1"/>
      </rPr>
      <t xml:space="preserve">/</t>
    </r>
    <r>
      <rPr>
        <b val="true"/>
        <sz val="8"/>
        <color rgb="FF006600"/>
        <rFont val="Noto Sans CJK SC"/>
        <family val="2"/>
      </rPr>
      <t xml:space="preserve">有条件</t>
    </r>
  </si>
  <si>
    <t xml:space="preserve">斯科普里</t>
  </si>
  <si>
    <r>
      <rPr>
        <b val="true"/>
        <sz val="9"/>
        <rFont val="Noto Sans CJK SC"/>
        <family val="2"/>
      </rPr>
      <t xml:space="preserve">斯科普里石桥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老城</t>
    </r>
  </si>
  <si>
    <t xml:space="preserve">Skopje Stone Bridge &amp; Old Bazaar</t>
  </si>
  <si>
    <t xml:space="preserve">阿尔巴尼亚</t>
  </si>
  <si>
    <t xml:space="preserve">萨兰达</t>
  </si>
  <si>
    <t xml:space="preserve">布特林特古城</t>
  </si>
  <si>
    <t xml:space="preserve">Butrint Archaeological Site</t>
  </si>
  <si>
    <t xml:space="preserve">培拉特</t>
  </si>
  <si>
    <t xml:space="preserve">培拉特千窗之城</t>
  </si>
  <si>
    <t xml:space="preserve">Berat - City of Windows</t>
  </si>
  <si>
    <t xml:space="preserve">吉诺卡斯特</t>
  </si>
  <si>
    <t xml:space="preserve">吉诺卡斯特石头城</t>
  </si>
  <si>
    <t xml:space="preserve">Gjirokaster Stone City</t>
  </si>
  <si>
    <t xml:space="preserve">白俄罗斯</t>
  </si>
  <si>
    <t xml:space="preserve">明斯克</t>
  </si>
  <si>
    <r>
      <rPr>
        <b val="true"/>
        <sz val="9"/>
        <rFont val="Noto Sans CJK SC"/>
        <family val="2"/>
      </rPr>
      <t xml:space="preserve">独立大街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胜利广场</t>
    </r>
  </si>
  <si>
    <t xml:space="preserve">Independence Ave &amp; Victory Sq</t>
  </si>
  <si>
    <t xml:space="preserve">布列斯特</t>
  </si>
  <si>
    <t xml:space="preserve">布列斯特要塞</t>
  </si>
  <si>
    <t xml:space="preserve">Brest Fortress</t>
  </si>
  <si>
    <t xml:space="preserve">俄罗斯</t>
  </si>
  <si>
    <t xml:space="preserve">莫斯科</t>
  </si>
  <si>
    <r>
      <rPr>
        <b val="true"/>
        <sz val="9"/>
        <rFont val="Noto Sans CJK SC"/>
        <family val="2"/>
      </rPr>
      <t xml:space="preserve">克里姆林宫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红场</t>
    </r>
  </si>
  <si>
    <t xml:space="preserve">Kremlin &amp; Red Square</t>
  </si>
  <si>
    <r>
      <rPr>
        <b val="true"/>
        <sz val="8"/>
        <color rgb="FF006600"/>
        <rFont val="Noto Sans CJK SC"/>
        <family val="2"/>
      </rPr>
      <t xml:space="preserve">免签</t>
    </r>
    <r>
      <rPr>
        <b val="true"/>
        <sz val="8"/>
        <color rgb="FF006600"/>
        <rFont val="Arial"/>
        <family val="0"/>
        <charset val="1"/>
      </rPr>
      <t xml:space="preserve">(</t>
    </r>
    <r>
      <rPr>
        <b val="true"/>
        <sz val="8"/>
        <color rgb="FF006600"/>
        <rFont val="Noto Sans CJK SC"/>
        <family val="2"/>
      </rPr>
      <t xml:space="preserve">团签</t>
    </r>
    <r>
      <rPr>
        <b val="true"/>
        <sz val="8"/>
        <color rgb="FF006600"/>
        <rFont val="Arial"/>
        <family val="0"/>
        <charset val="1"/>
      </rPr>
      <t xml:space="preserve">/</t>
    </r>
    <r>
      <rPr>
        <b val="true"/>
        <sz val="8"/>
        <color rgb="FF006600"/>
        <rFont val="Noto Sans CJK SC"/>
        <family val="2"/>
      </rPr>
      <t xml:space="preserve">电子签</t>
    </r>
    <r>
      <rPr>
        <b val="true"/>
        <sz val="8"/>
        <color rgb="FF006600"/>
        <rFont val="Arial"/>
        <family val="0"/>
        <charset val="1"/>
      </rPr>
      <t xml:space="preserve">)</t>
    </r>
  </si>
  <si>
    <t xml:space="preserve">圣彼得堡</t>
  </si>
  <si>
    <r>
      <rPr>
        <b val="true"/>
        <sz val="9"/>
        <rFont val="Noto Sans CJK SC"/>
        <family val="2"/>
      </rPr>
      <t xml:space="preserve">冬宫</t>
    </r>
    <r>
      <rPr>
        <b val="true"/>
        <sz val="9"/>
        <rFont val="Arial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艾尔米塔什博物馆</t>
    </r>
    <r>
      <rPr>
        <b val="true"/>
        <sz val="9"/>
        <rFont val="Arial"/>
        <family val="0"/>
        <charset val="1"/>
      </rPr>
      <t xml:space="preserve">)</t>
    </r>
  </si>
  <si>
    <t xml:space="preserve">Hermitage Museum</t>
  </si>
  <si>
    <t xml:space="preserve">彼得夏宫</t>
  </si>
  <si>
    <t xml:space="preserve">Peterhof Palace</t>
  </si>
  <si>
    <t xml:space="preserve">皇家园林</t>
  </si>
  <si>
    <t xml:space="preserve">圣瓦西里大教堂</t>
  </si>
  <si>
    <t xml:space="preserve">St Basil's Cathedral</t>
  </si>
  <si>
    <t xml:space="preserve">贝加尔湖</t>
  </si>
  <si>
    <t xml:space="preserve">Lake Baikal</t>
  </si>
  <si>
    <t xml:space="preserve">夏冬</t>
  </si>
  <si>
    <r>
      <rPr>
        <sz val="9"/>
        <rFont val="Arial"/>
        <family val="0"/>
        <charset val="1"/>
      </rPr>
      <t xml:space="preserve">7-8</t>
    </r>
    <r>
      <rPr>
        <sz val="9"/>
        <rFont val="Noto Sans CJK SC"/>
        <family val="2"/>
      </rPr>
      <t xml:space="preserve">月</t>
    </r>
    <r>
      <rPr>
        <sz val="9"/>
        <rFont val="Arial"/>
        <family val="0"/>
        <charset val="1"/>
      </rPr>
      <t xml:space="preserve">/1-3</t>
    </r>
    <r>
      <rPr>
        <sz val="9"/>
        <rFont val="Noto Sans CJK SC"/>
        <family val="2"/>
      </rPr>
      <t xml:space="preserve">月</t>
    </r>
  </si>
  <si>
    <t xml:space="preserve">索契</t>
  </si>
  <si>
    <r>
      <rPr>
        <b val="true"/>
        <sz val="9"/>
        <rFont val="Noto Sans CJK SC"/>
        <family val="2"/>
      </rPr>
      <t xml:space="preserve">索契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红波利亚纳</t>
    </r>
  </si>
  <si>
    <t xml:space="preserve">Sochi &amp; Krasnaya Polyana</t>
  </si>
  <si>
    <t xml:space="preserve">海滨山地</t>
  </si>
  <si>
    <r>
      <rPr>
        <sz val="9"/>
        <rFont val="Arial"/>
        <family val="0"/>
        <charset val="1"/>
      </rPr>
      <t xml:space="preserve">6-9</t>
    </r>
    <r>
      <rPr>
        <sz val="9"/>
        <rFont val="Noto Sans CJK SC"/>
        <family val="2"/>
      </rPr>
      <t xml:space="preserve">月</t>
    </r>
    <r>
      <rPr>
        <sz val="9"/>
        <rFont val="Arial"/>
        <family val="0"/>
        <charset val="1"/>
      </rPr>
      <t xml:space="preserve">/12-3</t>
    </r>
    <r>
      <rPr>
        <sz val="9"/>
        <rFont val="Noto Sans CJK SC"/>
        <family val="2"/>
      </rPr>
      <t xml:space="preserve">月</t>
    </r>
  </si>
  <si>
    <t xml:space="preserve">符拉迪沃斯托克</t>
  </si>
  <si>
    <t xml:space="preserve">海参崴</t>
  </si>
  <si>
    <t xml:space="preserve">Vladivostok</t>
  </si>
  <si>
    <t xml:space="preserve">海港城市</t>
  </si>
  <si>
    <r>
      <rPr>
        <b val="true"/>
        <sz val="8"/>
        <color rgb="FF006600"/>
        <rFont val="Noto Sans CJK SC"/>
        <family val="2"/>
      </rPr>
      <t xml:space="preserve">免签</t>
    </r>
    <r>
      <rPr>
        <b val="true"/>
        <sz val="8"/>
        <color rgb="FF006600"/>
        <rFont val="Arial"/>
        <family val="0"/>
        <charset val="1"/>
      </rPr>
      <t xml:space="preserve">(</t>
    </r>
    <r>
      <rPr>
        <b val="true"/>
        <sz val="8"/>
        <color rgb="FF006600"/>
        <rFont val="Noto Sans CJK SC"/>
        <family val="2"/>
      </rPr>
      <t xml:space="preserve">电子签</t>
    </r>
    <r>
      <rPr>
        <b val="true"/>
        <sz val="8"/>
        <color rgb="FF006600"/>
        <rFont val="Arial"/>
        <family val="0"/>
        <charset val="1"/>
      </rPr>
      <t xml:space="preserve">)</t>
    </r>
  </si>
  <si>
    <t xml:space="preserve">喀山</t>
  </si>
  <si>
    <t xml:space="preserve">喀山克里姆林宫</t>
  </si>
  <si>
    <t xml:space="preserve">Kazan Kremlin</t>
  </si>
  <si>
    <t xml:space="preserve">克罗地亚</t>
  </si>
  <si>
    <t xml:space="preserve">杜布罗夫尼克</t>
  </si>
  <si>
    <t xml:space="preserve">杜布罗夫尼克老城</t>
  </si>
  <si>
    <t xml:space="preserve">Dubrovnik Old Town</t>
  </si>
  <si>
    <t xml:space="preserve">历史城墙</t>
  </si>
  <si>
    <t xml:space="preserve">十六湖</t>
  </si>
  <si>
    <t xml:space="preserve">普利特维采湖群国家公园</t>
  </si>
  <si>
    <t xml:space="preserve">Plitvice Lakes NP</t>
  </si>
  <si>
    <t xml:space="preserve">自然湖瀑</t>
  </si>
  <si>
    <t xml:space="preserve">斯普利特</t>
  </si>
  <si>
    <r>
      <rPr>
        <b val="true"/>
        <sz val="9"/>
        <rFont val="Noto Sans CJK SC"/>
        <family val="2"/>
      </rPr>
      <t xml:space="preserve">戴克里先宫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斯普利特老城</t>
    </r>
  </si>
  <si>
    <t xml:space="preserve">Diocletian's Palace, Split</t>
  </si>
  <si>
    <t xml:space="preserve">匈牙利</t>
  </si>
  <si>
    <t xml:space="preserve">布达佩斯</t>
  </si>
  <si>
    <r>
      <rPr>
        <b val="true"/>
        <sz val="9"/>
        <rFont val="Noto Sans CJK SC"/>
        <family val="2"/>
      </rPr>
      <t xml:space="preserve">渔人堡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布达城堡</t>
    </r>
  </si>
  <si>
    <t xml:space="preserve">Fisherman's Bastion &amp; Buda Castle</t>
  </si>
  <si>
    <t xml:space="preserve">塞切尼温泉浴场</t>
  </si>
  <si>
    <t xml:space="preserve">Széchenyi Thermal Bath</t>
  </si>
  <si>
    <t xml:space="preserve">温泉文化</t>
  </si>
  <si>
    <r>
      <rPr>
        <b val="true"/>
        <sz val="9"/>
        <rFont val="Noto Sans CJK SC"/>
        <family val="2"/>
      </rPr>
      <t xml:space="preserve">国会大厦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多瑙河夜游</t>
    </r>
  </si>
  <si>
    <t xml:space="preserve">Parliament &amp; Danube Night Cruise</t>
  </si>
  <si>
    <t xml:space="preserve">城市建筑</t>
  </si>
  <si>
    <t xml:space="preserve">保加利亚</t>
  </si>
  <si>
    <t xml:space="preserve">索非亚</t>
  </si>
  <si>
    <r>
      <rPr>
        <b val="true"/>
        <sz val="9"/>
        <rFont val="Noto Sans CJK SC"/>
        <family val="2"/>
      </rPr>
      <t xml:space="preserve">亚历山大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涅夫斯基大教堂</t>
    </r>
  </si>
  <si>
    <t xml:space="preserve">Alexander Nevsky Cathedral</t>
  </si>
  <si>
    <t xml:space="preserve">里拉</t>
  </si>
  <si>
    <t xml:space="preserve">里拉修道院</t>
  </si>
  <si>
    <t xml:space="preserve">Rila Monastery</t>
  </si>
  <si>
    <t xml:space="preserve">罗马尼亚</t>
  </si>
  <si>
    <t xml:space="preserve">布拉索夫</t>
  </si>
  <si>
    <r>
      <rPr>
        <b val="true"/>
        <sz val="9"/>
        <rFont val="Noto Sans CJK SC"/>
        <family val="2"/>
      </rPr>
      <t xml:space="preserve">布朗城堡</t>
    </r>
    <r>
      <rPr>
        <b val="true"/>
        <sz val="9"/>
        <rFont val="Arial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德古拉城堡</t>
    </r>
    <r>
      <rPr>
        <b val="true"/>
        <sz val="9"/>
        <rFont val="Arial"/>
        <family val="0"/>
        <charset val="1"/>
      </rPr>
      <t xml:space="preserve">)</t>
    </r>
  </si>
  <si>
    <t xml:space="preserve">Bran Castle</t>
  </si>
  <si>
    <t xml:space="preserve">历史城堡</t>
  </si>
  <si>
    <t xml:space="preserve">锡吉什瓦拉</t>
  </si>
  <si>
    <t xml:space="preserve">锡吉什瓦拉古城</t>
  </si>
  <si>
    <t xml:space="preserve">Sighișoara Historic Centre</t>
  </si>
  <si>
    <t xml:space="preserve">波兰</t>
  </si>
  <si>
    <t xml:space="preserve">克拉科夫</t>
  </si>
  <si>
    <r>
      <rPr>
        <b val="true"/>
        <sz val="9"/>
        <rFont val="Noto Sans CJK SC"/>
        <family val="2"/>
      </rPr>
      <t xml:space="preserve">瓦维尔城堡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克拉科夫老城</t>
    </r>
  </si>
  <si>
    <t xml:space="preserve">Wawel Castle &amp; Old Town</t>
  </si>
  <si>
    <t xml:space="preserve">奥斯维辛</t>
  </si>
  <si>
    <t xml:space="preserve">奥斯维辛集中营纪念馆</t>
  </si>
  <si>
    <t xml:space="preserve">Auschwitz-Birkenau Memorial</t>
  </si>
  <si>
    <t xml:space="preserve">华沙</t>
  </si>
  <si>
    <t xml:space="preserve">华沙老城</t>
  </si>
  <si>
    <t xml:space="preserve">Warsaw Old Town</t>
  </si>
  <si>
    <t xml:space="preserve">爱沙尼亚</t>
  </si>
  <si>
    <t xml:space="preserve">塔林</t>
  </si>
  <si>
    <t xml:space="preserve">塔林老城</t>
  </si>
  <si>
    <t xml:space="preserve">Tallinn Old Town</t>
  </si>
  <si>
    <t xml:space="preserve">拉脱维亚</t>
  </si>
  <si>
    <t xml:space="preserve">里加</t>
  </si>
  <si>
    <t xml:space="preserve">里加老城</t>
  </si>
  <si>
    <t xml:space="preserve">Riga Old Town</t>
  </si>
  <si>
    <t xml:space="preserve">南亚</t>
  </si>
  <si>
    <t xml:space="preserve">马尔代夫</t>
  </si>
  <si>
    <t xml:space="preserve">马累</t>
  </si>
  <si>
    <t xml:space="preserve">马尔代夫环礁</t>
  </si>
  <si>
    <t xml:space="preserve">Maldives Atolls</t>
  </si>
  <si>
    <t xml:space="preserve">斯里兰卡</t>
  </si>
  <si>
    <t xml:space="preserve">锡吉里耶</t>
  </si>
  <si>
    <t xml:space="preserve">狮子岩</t>
  </si>
  <si>
    <t xml:space="preserve">Sigiriya Lion Rock</t>
  </si>
  <si>
    <t xml:space="preserve">康提</t>
  </si>
  <si>
    <r>
      <rPr>
        <b val="true"/>
        <sz val="9"/>
        <rFont val="Noto Sans CJK SC"/>
        <family val="2"/>
      </rPr>
      <t xml:space="preserve">佛牙寺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康提湖</t>
    </r>
  </si>
  <si>
    <t xml:space="preserve">Temple of Tooth &amp; Kandy Lake</t>
  </si>
  <si>
    <t xml:space="preserve">尼泊尔</t>
  </si>
  <si>
    <t xml:space="preserve">加德满都</t>
  </si>
  <si>
    <t xml:space="preserve">加德满都杜巴广场</t>
  </si>
  <si>
    <t xml:space="preserve">Kathmandu Durbar Square</t>
  </si>
  <si>
    <t xml:space="preserve">秋春</t>
  </si>
  <si>
    <r>
      <rPr>
        <sz val="9"/>
        <rFont val="Arial"/>
        <family val="0"/>
        <charset val="1"/>
      </rPr>
      <t xml:space="preserve">10-11</t>
    </r>
    <r>
      <rPr>
        <sz val="9"/>
        <rFont val="Noto Sans CJK SC"/>
        <family val="2"/>
      </rPr>
      <t xml:space="preserve">月</t>
    </r>
    <r>
      <rPr>
        <sz val="9"/>
        <rFont val="Arial"/>
        <family val="0"/>
        <charset val="1"/>
      </rPr>
      <t xml:space="preserve">/3-4</t>
    </r>
    <r>
      <rPr>
        <sz val="9"/>
        <rFont val="Noto Sans CJK SC"/>
        <family val="2"/>
      </rPr>
      <t xml:space="preserve">月</t>
    </r>
  </si>
  <si>
    <t xml:space="preserve">博卡拉</t>
  </si>
  <si>
    <r>
      <rPr>
        <b val="true"/>
        <sz val="9"/>
        <rFont val="Noto Sans CJK SC"/>
        <family val="2"/>
      </rPr>
      <t xml:space="preserve">费瓦湖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安纳普尔纳大环线</t>
    </r>
  </si>
  <si>
    <t xml:space="preserve">Pokhara &amp; Annapurna</t>
  </si>
  <si>
    <t xml:space="preserve">全球景区各国分布统计（按景区数量降序）</t>
  </si>
  <si>
    <t xml:space="preserve">景区数量</t>
  </si>
  <si>
    <t xml:space="preserve">签证政策</t>
  </si>
  <si>
    <t xml:space="preserve">平均口碑</t>
  </si>
  <si>
    <t xml:space="preserve">平均文化价值</t>
  </si>
  <si>
    <t xml:space="preserve">平均性价比</t>
  </si>
  <si>
    <t xml:space="preserve">平均综合满意度</t>
  </si>
  <si>
    <r>
      <rPr>
        <sz val="8"/>
        <rFont val="Noto Sans CJK SC"/>
        <family val="2"/>
      </rPr>
      <t xml:space="preserve">免签</t>
    </r>
    <r>
      <rPr>
        <sz val="8"/>
        <rFont val="Arial"/>
        <family val="0"/>
        <charset val="1"/>
      </rPr>
      <t xml:space="preserve">30</t>
    </r>
    <r>
      <rPr>
        <sz val="8"/>
        <rFont val="Noto Sans CJK SC"/>
        <family val="2"/>
      </rPr>
      <t xml:space="preserve">天</t>
    </r>
  </si>
  <si>
    <r>
      <rPr>
        <sz val="8"/>
        <rFont val="Noto Sans CJK SC"/>
        <family val="2"/>
      </rPr>
      <t xml:space="preserve">需签证</t>
    </r>
    <r>
      <rPr>
        <sz val="8"/>
        <rFont val="Arial"/>
        <family val="0"/>
        <charset val="1"/>
      </rPr>
      <t xml:space="preserve">(ETA)</t>
    </r>
  </si>
  <si>
    <r>
      <rPr>
        <sz val="8"/>
        <rFont val="Noto Sans CJK SC"/>
        <family val="2"/>
      </rPr>
      <t xml:space="preserve">需签证</t>
    </r>
    <r>
      <rPr>
        <sz val="8"/>
        <rFont val="Arial"/>
        <family val="0"/>
        <charset val="1"/>
      </rPr>
      <t xml:space="preserve">(NZeTA)</t>
    </r>
  </si>
  <si>
    <r>
      <rPr>
        <sz val="8"/>
        <rFont val="Noto Sans CJK SC"/>
        <family val="2"/>
      </rPr>
      <t xml:space="preserve">免签</t>
    </r>
    <r>
      <rPr>
        <sz val="8"/>
        <rFont val="Arial"/>
        <family val="0"/>
        <charset val="1"/>
      </rPr>
      <t xml:space="preserve">90</t>
    </r>
    <r>
      <rPr>
        <sz val="8"/>
        <rFont val="Noto Sans CJK SC"/>
        <family val="2"/>
      </rPr>
      <t xml:space="preserve">天</t>
    </r>
  </si>
  <si>
    <r>
      <rPr>
        <sz val="8"/>
        <rFont val="Noto Sans CJK SC"/>
        <family val="2"/>
      </rPr>
      <t xml:space="preserve">免签</t>
    </r>
    <r>
      <rPr>
        <sz val="8"/>
        <rFont val="Arial"/>
        <family val="0"/>
        <charset val="1"/>
      </rPr>
      <t xml:space="preserve">(</t>
    </r>
    <r>
      <rPr>
        <sz val="8"/>
        <rFont val="Noto Sans CJK SC"/>
        <family val="2"/>
      </rPr>
      <t xml:space="preserve">团签</t>
    </r>
    <r>
      <rPr>
        <sz val="8"/>
        <rFont val="Arial"/>
        <family val="0"/>
        <charset val="1"/>
      </rPr>
      <t xml:space="preserve">/</t>
    </r>
    <r>
      <rPr>
        <sz val="8"/>
        <rFont val="Noto Sans CJK SC"/>
        <family val="2"/>
      </rPr>
      <t xml:space="preserve">电子签</t>
    </r>
    <r>
      <rPr>
        <sz val="8"/>
        <rFont val="Arial"/>
        <family val="0"/>
        <charset val="1"/>
      </rPr>
      <t xml:space="preserve">)</t>
    </r>
  </si>
  <si>
    <r>
      <rPr>
        <sz val="8"/>
        <rFont val="Noto Sans CJK SC"/>
        <family val="2"/>
      </rPr>
      <t xml:space="preserve">免签</t>
    </r>
    <r>
      <rPr>
        <sz val="8"/>
        <rFont val="Arial"/>
        <family val="0"/>
        <charset val="1"/>
      </rPr>
      <t xml:space="preserve">14</t>
    </r>
    <r>
      <rPr>
        <sz val="8"/>
        <rFont val="Noto Sans CJK SC"/>
        <family val="2"/>
      </rPr>
      <t xml:space="preserve">天</t>
    </r>
  </si>
  <si>
    <r>
      <rPr>
        <sz val="8"/>
        <rFont val="Noto Sans CJK SC"/>
        <family val="2"/>
      </rPr>
      <t xml:space="preserve">落地签</t>
    </r>
    <r>
      <rPr>
        <sz val="8"/>
        <rFont val="Arial"/>
        <family val="0"/>
        <charset val="1"/>
      </rPr>
      <t xml:space="preserve">/</t>
    </r>
    <r>
      <rPr>
        <sz val="8"/>
        <rFont val="Noto Sans CJK SC"/>
        <family val="2"/>
      </rPr>
      <t xml:space="preserve">电子签</t>
    </r>
  </si>
  <si>
    <r>
      <rPr>
        <sz val="8"/>
        <rFont val="Noto Sans CJK SC"/>
        <family val="2"/>
      </rPr>
      <t xml:space="preserve">免签</t>
    </r>
    <r>
      <rPr>
        <sz val="8"/>
        <rFont val="Arial"/>
        <family val="0"/>
        <charset val="1"/>
      </rPr>
      <t xml:space="preserve">/</t>
    </r>
    <r>
      <rPr>
        <sz val="8"/>
        <rFont val="Noto Sans CJK SC"/>
        <family val="2"/>
      </rPr>
      <t xml:space="preserve">有条件</t>
    </r>
  </si>
  <si>
    <r>
      <rPr>
        <sz val="8"/>
        <rFont val="Noto Sans CJK SC"/>
        <family val="2"/>
      </rPr>
      <t xml:space="preserve">免签</t>
    </r>
    <r>
      <rPr>
        <sz val="8"/>
        <rFont val="Arial"/>
        <family val="0"/>
        <charset val="1"/>
      </rPr>
      <t xml:space="preserve">(</t>
    </r>
    <r>
      <rPr>
        <sz val="8"/>
        <rFont val="Noto Sans CJK SC"/>
        <family val="2"/>
      </rPr>
      <t xml:space="preserve">电子签</t>
    </r>
    <r>
      <rPr>
        <sz val="8"/>
        <rFont val="Arial"/>
        <family val="0"/>
        <charset val="1"/>
      </rPr>
      <t xml:space="preserve">)</t>
    </r>
  </si>
  <si>
    <r>
      <rPr>
        <b val="true"/>
        <sz val="14"/>
        <color rgb="FF1F4E79"/>
        <rFont val="Noto Sans CJK SC"/>
        <family val="2"/>
      </rPr>
      <t xml:space="preserve">评分体系说明 </t>
    </r>
    <r>
      <rPr>
        <b val="true"/>
        <sz val="14"/>
        <color rgb="FF1F4E79"/>
        <rFont val="Arial"/>
        <family val="0"/>
        <charset val="1"/>
      </rPr>
      <t xml:space="preserve">&amp; </t>
    </r>
    <r>
      <rPr>
        <b val="true"/>
        <sz val="14"/>
        <color rgb="FF1F4E79"/>
        <rFont val="Noto Sans CJK SC"/>
        <family val="2"/>
      </rPr>
      <t xml:space="preserve">中国公民签证便利度指南</t>
    </r>
  </si>
  <si>
    <t xml:space="preserve">评估维度</t>
  </si>
  <si>
    <r>
      <rPr>
        <b val="true"/>
        <sz val="10"/>
        <color rgb="FFFFFFFF"/>
        <rFont val="Noto Sans CJK SC"/>
        <family val="2"/>
      </rPr>
      <t xml:space="preserve">权重</t>
    </r>
    <r>
      <rPr>
        <b val="true"/>
        <sz val="10"/>
        <color rgb="FFFFFFFF"/>
        <rFont val="Arial"/>
        <family val="0"/>
        <charset val="1"/>
      </rPr>
      <t xml:space="preserve">(%)</t>
    </r>
  </si>
  <si>
    <t xml:space="preserve">评分标准</t>
  </si>
  <si>
    <t xml:space="preserve">数据来源</t>
  </si>
  <si>
    <t xml:space="preserve">游客口碑</t>
  </si>
  <si>
    <r>
      <rPr>
        <sz val="9"/>
        <rFont val="Arial"/>
        <family val="0"/>
        <charset val="1"/>
      </rPr>
      <t xml:space="preserve">TripAdvisor/Google Reviews/</t>
    </r>
    <r>
      <rPr>
        <sz val="9"/>
        <rFont val="Noto Sans CJK SC"/>
        <family val="2"/>
      </rPr>
      <t xml:space="preserve">携程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马蜂窝综合折算</t>
    </r>
  </si>
  <si>
    <t xml:space="preserve">全球旅游平台</t>
  </si>
  <si>
    <t xml:space="preserve">亲子友好度</t>
  </si>
  <si>
    <t xml:space="preserve">儿童设施、游乐项目、安全性、教育性</t>
  </si>
  <si>
    <t xml:space="preserve">平台家庭游标签</t>
  </si>
  <si>
    <t xml:space="preserve">老人友好度</t>
  </si>
  <si>
    <t xml:space="preserve">无障碍设施、步行难度、休息点、医疗保障</t>
  </si>
  <si>
    <t xml:space="preserve">景区公开信息</t>
  </si>
  <si>
    <t xml:space="preserve">夫妻友好度</t>
  </si>
  <si>
    <t xml:space="preserve">浪漫氛围、拍照打卡、文化体验丰富度</t>
  </si>
  <si>
    <r>
      <rPr>
        <sz val="9"/>
        <rFont val="Noto Sans CJK SC"/>
        <family val="2"/>
      </rPr>
      <t xml:space="preserve">社交媒体</t>
    </r>
    <r>
      <rPr>
        <sz val="9"/>
        <rFont val="Arial"/>
        <family val="0"/>
        <charset val="1"/>
      </rPr>
      <t xml:space="preserve">+</t>
    </r>
    <r>
      <rPr>
        <sz val="9"/>
        <rFont val="Noto Sans CJK SC"/>
        <family val="2"/>
      </rPr>
      <t xml:space="preserve">情侣评论</t>
    </r>
  </si>
  <si>
    <t xml:space="preserve">一人游友好度</t>
  </si>
  <si>
    <t xml:space="preserve">安全性、社交氛围、独行便利度</t>
  </si>
  <si>
    <t xml:space="preserve">独行游客评论</t>
  </si>
  <si>
    <t xml:space="preserve">从中国交通可达性</t>
  </si>
  <si>
    <t xml:space="preserve">直飞航线、转机、当地交通、从机场到景区距离</t>
  </si>
  <si>
    <r>
      <rPr>
        <sz val="9"/>
        <rFont val="Noto Sans CJK SC"/>
        <family val="2"/>
      </rPr>
      <t xml:space="preserve">航班数据</t>
    </r>
    <r>
      <rPr>
        <sz val="9"/>
        <rFont val="Arial"/>
        <family val="0"/>
        <charset val="1"/>
      </rPr>
      <t xml:space="preserve">+</t>
    </r>
    <r>
      <rPr>
        <sz val="9"/>
        <rFont val="Noto Sans CJK SC"/>
        <family val="2"/>
      </rPr>
      <t xml:space="preserve">交通信息</t>
    </r>
  </si>
  <si>
    <r>
      <rPr>
        <sz val="9"/>
        <rFont val="Noto Sans CJK SC"/>
        <family val="2"/>
      </rPr>
      <t xml:space="preserve">季节适宜性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全年</t>
    </r>
    <r>
      <rPr>
        <sz val="9"/>
        <rFont val="Arial"/>
        <family val="0"/>
        <charset val="1"/>
      </rPr>
      <t xml:space="preserve">)</t>
    </r>
  </si>
  <si>
    <t xml:space="preserve">全年可游天数比例、气候舒适度</t>
  </si>
  <si>
    <t xml:space="preserve">气象数据</t>
  </si>
  <si>
    <r>
      <rPr>
        <sz val="9"/>
        <rFont val="Noto Sans CJK SC"/>
        <family val="2"/>
      </rPr>
      <t xml:space="preserve">文化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生态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独特价值</t>
    </r>
  </si>
  <si>
    <r>
      <rPr>
        <sz val="9"/>
        <rFont val="Arial"/>
        <family val="0"/>
        <charset val="1"/>
      </rPr>
      <t xml:space="preserve">UNESCO</t>
    </r>
    <r>
      <rPr>
        <sz val="9"/>
        <rFont val="Noto Sans CJK SC"/>
        <family val="2"/>
      </rPr>
      <t xml:space="preserve">世界遗产、唯一性、文化深度</t>
    </r>
  </si>
  <si>
    <r>
      <rPr>
        <sz val="9"/>
        <rFont val="Arial"/>
        <family val="0"/>
        <charset val="1"/>
      </rPr>
      <t xml:space="preserve">UNESCO+</t>
    </r>
    <r>
      <rPr>
        <sz val="9"/>
        <rFont val="Noto Sans CJK SC"/>
        <family val="2"/>
      </rPr>
      <t xml:space="preserve">专业评估</t>
    </r>
  </si>
  <si>
    <t xml:space="preserve">基础设施与配套</t>
  </si>
  <si>
    <r>
      <rPr>
        <sz val="9"/>
        <rFont val="Noto Sans CJK SC"/>
        <family val="2"/>
      </rPr>
      <t xml:space="preserve">酒店、餐饮、</t>
    </r>
    <r>
      <rPr>
        <sz val="9"/>
        <rFont val="Arial"/>
        <family val="0"/>
        <charset val="1"/>
      </rPr>
      <t xml:space="preserve">WiFi</t>
    </r>
    <r>
      <rPr>
        <sz val="9"/>
        <rFont val="Noto Sans CJK SC"/>
        <family val="2"/>
      </rPr>
      <t xml:space="preserve">、导览、语言服务</t>
    </r>
  </si>
  <si>
    <t xml:space="preserve">基础设施评估</t>
  </si>
  <si>
    <r>
      <rPr>
        <sz val="9"/>
        <rFont val="Noto Sans CJK SC"/>
        <family val="2"/>
      </rPr>
      <t xml:space="preserve">门票</t>
    </r>
    <r>
      <rPr>
        <sz val="9"/>
        <rFont val="Arial"/>
        <family val="0"/>
        <charset val="1"/>
      </rPr>
      <t xml:space="preserve">+</t>
    </r>
    <r>
      <rPr>
        <sz val="9"/>
        <rFont val="Noto Sans CJK SC"/>
        <family val="2"/>
      </rPr>
      <t xml:space="preserve">食宿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体验价值比</t>
    </r>
    <r>
      <rPr>
        <sz val="9"/>
        <rFont val="Arial"/>
        <family val="0"/>
        <charset val="1"/>
      </rPr>
      <t xml:space="preserve">,</t>
    </r>
    <r>
      <rPr>
        <sz val="9"/>
        <rFont val="Noto Sans CJK SC"/>
        <family val="2"/>
      </rPr>
      <t xml:space="preserve">对中国游客友好度</t>
    </r>
  </si>
  <si>
    <r>
      <rPr>
        <sz val="9"/>
        <rFont val="Noto Sans CJK SC"/>
        <family val="2"/>
      </rPr>
      <t xml:space="preserve">实际消费</t>
    </r>
    <r>
      <rPr>
        <sz val="9"/>
        <rFont val="Arial"/>
        <family val="0"/>
        <charset val="1"/>
      </rPr>
      <t xml:space="preserve">+</t>
    </r>
    <r>
      <rPr>
        <sz val="9"/>
        <rFont val="Noto Sans CJK SC"/>
        <family val="2"/>
      </rPr>
      <t xml:space="preserve">评论</t>
    </r>
  </si>
  <si>
    <r>
      <rPr>
        <b val="true"/>
        <sz val="11"/>
        <rFont val="Noto Sans CJK SC"/>
        <family val="2"/>
      </rPr>
      <t xml:space="preserve">签证颜色标注说明</t>
    </r>
    <r>
      <rPr>
        <b val="true"/>
        <sz val="11"/>
        <rFont val="Arial"/>
        <family val="0"/>
        <charset val="1"/>
      </rPr>
      <t xml:space="preserve">:</t>
    </r>
  </si>
  <si>
    <r>
      <rPr>
        <b val="true"/>
        <sz val="10"/>
        <rFont val="Noto Sans CJK SC"/>
        <family val="2"/>
      </rPr>
      <t xml:space="preserve">绿色 </t>
    </r>
    <r>
      <rPr>
        <b val="true"/>
        <sz val="10"/>
        <rFont val="Arial"/>
        <family val="0"/>
        <charset val="1"/>
      </rPr>
      <t xml:space="preserve">= </t>
    </r>
    <r>
      <rPr>
        <b val="true"/>
        <sz val="10"/>
        <rFont val="Noto Sans CJK SC"/>
        <family val="2"/>
      </rPr>
      <t xml:space="preserve">互免签证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免签（持护照直接前往）</t>
    </r>
  </si>
  <si>
    <t xml:space="preserve">最便利，无需任何预先手续</t>
  </si>
  <si>
    <r>
      <rPr>
        <b val="true"/>
        <sz val="10"/>
        <rFont val="Noto Sans CJK SC"/>
        <family val="2"/>
      </rPr>
      <t xml:space="preserve">黄色 </t>
    </r>
    <r>
      <rPr>
        <b val="true"/>
        <sz val="10"/>
        <rFont val="Arial"/>
        <family val="0"/>
        <charset val="1"/>
      </rPr>
      <t xml:space="preserve">= </t>
    </r>
    <r>
      <rPr>
        <b val="true"/>
        <sz val="10"/>
        <rFont val="Noto Sans CJK SC"/>
        <family val="2"/>
      </rPr>
      <t xml:space="preserve">落地签（到达目的地后办理签证）</t>
    </r>
  </si>
  <si>
    <t xml:space="preserve">需准备材料，现场缴费</t>
  </si>
  <si>
    <r>
      <rPr>
        <b val="true"/>
        <sz val="10"/>
        <rFont val="Noto Sans CJK SC"/>
        <family val="2"/>
      </rPr>
      <t xml:space="preserve">橙色 </t>
    </r>
    <r>
      <rPr>
        <b val="true"/>
        <sz val="10"/>
        <rFont val="Arial"/>
        <family val="0"/>
        <charset val="1"/>
      </rPr>
      <t xml:space="preserve">= </t>
    </r>
    <r>
      <rPr>
        <b val="true"/>
        <sz val="10"/>
        <rFont val="Noto Sans CJK SC"/>
        <family val="2"/>
      </rPr>
      <t xml:space="preserve">电子签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需签证（出发前需申请）</t>
    </r>
  </si>
  <si>
    <t xml:space="preserve">需提前在线申请或前往使馆</t>
  </si>
  <si>
    <r>
      <rPr>
        <sz val="9"/>
        <color rgb="FF666666"/>
        <rFont val="Noto Sans CJK SC"/>
        <family val="2"/>
      </rPr>
      <t xml:space="preserve">声明</t>
    </r>
    <r>
      <rPr>
        <sz val="9"/>
        <color rgb="FF666666"/>
        <rFont val="Arial"/>
        <family val="0"/>
        <charset val="1"/>
      </rPr>
      <t xml:space="preserve">: </t>
    </r>
    <r>
      <rPr>
        <sz val="9"/>
        <color rgb="FF666666"/>
        <rFont val="Noto Sans CJK SC"/>
        <family val="2"/>
      </rPr>
      <t xml:space="preserve">签证政策随时可能变化，请出行前在外交部领事服务网</t>
    </r>
    <r>
      <rPr>
        <sz val="9"/>
        <color rgb="FF666666"/>
        <rFont val="Arial"/>
        <family val="0"/>
        <charset val="1"/>
      </rPr>
      <t xml:space="preserve">(cs.mfa.gov.cn)</t>
    </r>
    <r>
      <rPr>
        <sz val="9"/>
        <color rgb="FF666666"/>
        <rFont val="Noto Sans CJK SC"/>
        <family val="2"/>
      </rPr>
      <t xml:space="preserve">核实最新信息。评分基于公开数据，仅供参考。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</si>
</sst>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¥#,##0"/>
    <numFmt numFmtId="166" formatCode="0.00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9"/>
      <name val="Noto Sans CJK SC"/>
      <family val="2"/>
    </font>
    <font>
      <b val="true"/>
      <sz val="13"/>
      <color rgb="FF1F4E79"/>
      <name val="Arial"/>
      <family val="0"/>
      <charset val="1"/>
    </font>
    <font>
      <sz val="9"/>
      <color rgb="FF666666"/>
      <name val="Noto Sans CJK SC"/>
      <family val="2"/>
    </font>
    <font>
      <sz val="9"/>
      <color rgb="FF666666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sz val="9"/>
      <name val="Noto Sans CJK SC"/>
      <family val="2"/>
    </font>
    <font>
      <b val="true"/>
      <sz val="9"/>
      <name val="Noto Sans CJK SC"/>
      <family val="2"/>
    </font>
    <font>
      <b val="true"/>
      <sz val="9"/>
      <name val="Arial"/>
      <family val="0"/>
      <charset val="1"/>
    </font>
    <font>
      <i val="true"/>
      <sz val="8"/>
      <name val="Arial"/>
      <family val="0"/>
      <charset val="1"/>
    </font>
    <font>
      <b val="true"/>
      <sz val="8"/>
      <color rgb="FF006600"/>
      <name val="Noto Sans CJK SC"/>
      <family val="2"/>
    </font>
    <font>
      <b val="true"/>
      <sz val="8"/>
      <color rgb="FF0066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4"/>
      <color rgb="FF1F4E79"/>
      <name val="Noto Sans CJK SC"/>
      <family val="2"/>
    </font>
    <font>
      <sz val="8"/>
      <name val="Noto Sans CJK SC"/>
      <family val="2"/>
    </font>
    <font>
      <sz val="8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sz val="10"/>
      <name val="Noto Sans CJK SC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C00000"/>
        <bgColor rgb="FF800000"/>
      </patternFill>
    </fill>
    <fill>
      <patternFill patternType="solid">
        <fgColor rgb="FFF2F2F2"/>
        <bgColor rgb="FFFFFFFF"/>
      </patternFill>
    </fill>
    <fill>
      <patternFill patternType="solid">
        <fgColor rgb="FFC6EFCE"/>
        <bgColor rgb="FFCCFFFF"/>
      </patternFill>
    </fill>
    <fill>
      <patternFill patternType="solid">
        <fgColor rgb="FFFFFFFF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CE4D6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6" min="6" style="0" width="28"/>
    <col collapsed="false" customWidth="true" hidden="false" outlineLevel="0" max="7" min="7" style="0" width="9"/>
    <col collapsed="false" customWidth="true" hidden="false" outlineLevel="0" max="8" min="8" style="0" width="12"/>
    <col collapsed="false" customWidth="true" hidden="false" outlineLevel="0" max="14" min="9" style="0" width="7"/>
    <col collapsed="false" customWidth="true" hidden="false" outlineLevel="0" max="15" min="15" style="0" width="9"/>
    <col collapsed="false" customWidth="true" hidden="false" outlineLevel="0" max="16" min="16" style="0" width="8"/>
    <col collapsed="false" customWidth="true" hidden="false" outlineLevel="0" max="17" min="17" style="0" width="7"/>
    <col collapsed="false" customWidth="true" hidden="false" outlineLevel="0" max="18" min="18" style="0" width="8"/>
    <col collapsed="false" customWidth="true" hidden="false" outlineLevel="0" max="19" min="19" style="0" width="13"/>
    <col collapsed="false" customWidth="true" hidden="false" outlineLevel="0" max="21" min="20" style="0" width="9"/>
    <col collapsed="false" customWidth="true" hidden="false" outlineLevel="0" max="22" min="22" style="0" width="7"/>
    <col collapsed="false" customWidth="true" hidden="false" outlineLevel="0" max="23" min="23" style="0" width="9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customFormat="false" ht="42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4" t="s">
        <v>24</v>
      </c>
    </row>
    <row r="4" customFormat="false" ht="15" hidden="false" customHeight="false" outlineLevel="0" collapsed="false">
      <c r="A4" s="5" t="n">
        <v>1</v>
      </c>
      <c r="B4" s="6" t="s">
        <v>25</v>
      </c>
      <c r="C4" s="6" t="s">
        <v>26</v>
      </c>
      <c r="D4" s="6" t="s">
        <v>27</v>
      </c>
      <c r="E4" s="7" t="s">
        <v>28</v>
      </c>
      <c r="F4" s="8" t="s">
        <v>29</v>
      </c>
      <c r="G4" s="6" t="s">
        <v>30</v>
      </c>
      <c r="H4" s="9" t="s">
        <v>31</v>
      </c>
      <c r="I4" s="5" t="n">
        <v>9</v>
      </c>
      <c r="J4" s="5" t="n">
        <v>8</v>
      </c>
      <c r="K4" s="5" t="n">
        <v>8</v>
      </c>
      <c r="L4" s="5" t="n">
        <v>8</v>
      </c>
      <c r="M4" s="5" t="n">
        <v>9</v>
      </c>
      <c r="N4" s="5" t="n">
        <v>2</v>
      </c>
      <c r="O4" s="10" t="n">
        <v>1200</v>
      </c>
      <c r="P4" s="5" t="n">
        <v>9</v>
      </c>
      <c r="Q4" s="5" t="n">
        <v>8</v>
      </c>
      <c r="R4" s="6" t="s">
        <v>32</v>
      </c>
      <c r="S4" s="5" t="s">
        <v>33</v>
      </c>
      <c r="T4" s="5" t="n">
        <v>8.5</v>
      </c>
      <c r="U4" s="5" t="n">
        <v>9.5</v>
      </c>
      <c r="V4" s="5" t="n">
        <v>7</v>
      </c>
      <c r="W4" s="11" t="n">
        <f aca="false">ROUND(I4*0.15+J4*0.08+K4*0.08+L4*0.1+M4*0.08+P4*0.1+Q4*0.05+T4*0.15+U4*0.12+V4*0.09,2)</f>
        <v>8.5</v>
      </c>
    </row>
    <row r="5" customFormat="false" ht="15" hidden="false" customHeight="false" outlineLevel="0" collapsed="false">
      <c r="A5" s="12" t="n">
        <v>2</v>
      </c>
      <c r="B5" s="13" t="s">
        <v>25</v>
      </c>
      <c r="C5" s="13" t="s">
        <v>26</v>
      </c>
      <c r="D5" s="13" t="s">
        <v>34</v>
      </c>
      <c r="E5" s="14" t="s">
        <v>35</v>
      </c>
      <c r="F5" s="15" t="s">
        <v>36</v>
      </c>
      <c r="G5" s="13" t="s">
        <v>30</v>
      </c>
      <c r="H5" s="9" t="s">
        <v>31</v>
      </c>
      <c r="I5" s="12" t="n">
        <v>9.5</v>
      </c>
      <c r="J5" s="12" t="n">
        <v>7</v>
      </c>
      <c r="K5" s="12" t="n">
        <v>6</v>
      </c>
      <c r="L5" s="12" t="n">
        <v>10</v>
      </c>
      <c r="M5" s="12" t="n">
        <v>9</v>
      </c>
      <c r="N5" s="12" t="n">
        <v>3</v>
      </c>
      <c r="O5" s="16" t="n">
        <v>1200</v>
      </c>
      <c r="P5" s="12" t="n">
        <v>8</v>
      </c>
      <c r="Q5" s="12" t="n">
        <v>8</v>
      </c>
      <c r="R5" s="13" t="s">
        <v>37</v>
      </c>
      <c r="S5" s="12" t="s">
        <v>38</v>
      </c>
      <c r="T5" s="12" t="n">
        <v>10</v>
      </c>
      <c r="U5" s="12" t="n">
        <v>9.5</v>
      </c>
      <c r="V5" s="12" t="n">
        <v>7</v>
      </c>
      <c r="W5" s="17" t="n">
        <f aca="false">ROUND(I5*0.15+J5*0.08+K5*0.08+L5*0.1+M5*0.08+P5*0.1+Q5*0.05+T5*0.15+U5*0.12+V5*0.09,2)</f>
        <v>8.66</v>
      </c>
    </row>
    <row r="6" customFormat="false" ht="15" hidden="false" customHeight="false" outlineLevel="0" collapsed="false">
      <c r="A6" s="5" t="n">
        <v>3</v>
      </c>
      <c r="B6" s="6" t="s">
        <v>25</v>
      </c>
      <c r="C6" s="6" t="s">
        <v>26</v>
      </c>
      <c r="D6" s="6" t="s">
        <v>34</v>
      </c>
      <c r="E6" s="7" t="s">
        <v>39</v>
      </c>
      <c r="F6" s="8" t="s">
        <v>40</v>
      </c>
      <c r="G6" s="6" t="s">
        <v>41</v>
      </c>
      <c r="H6" s="9" t="s">
        <v>31</v>
      </c>
      <c r="I6" s="5" t="n">
        <v>9.3</v>
      </c>
      <c r="J6" s="5" t="n">
        <v>7</v>
      </c>
      <c r="K6" s="5" t="n">
        <v>5</v>
      </c>
      <c r="L6" s="5" t="n">
        <v>9</v>
      </c>
      <c r="M6" s="5" t="n">
        <v>9</v>
      </c>
      <c r="N6" s="5" t="n">
        <v>3</v>
      </c>
      <c r="O6" s="10" t="n">
        <v>1000</v>
      </c>
      <c r="P6" s="5" t="n">
        <v>8</v>
      </c>
      <c r="Q6" s="5" t="n">
        <v>8</v>
      </c>
      <c r="R6" s="6" t="s">
        <v>32</v>
      </c>
      <c r="S6" s="5" t="s">
        <v>33</v>
      </c>
      <c r="T6" s="5" t="n">
        <v>9.5</v>
      </c>
      <c r="U6" s="5" t="n">
        <v>9</v>
      </c>
      <c r="V6" s="5" t="n">
        <v>8</v>
      </c>
      <c r="W6" s="11" t="n">
        <f aca="false">ROUND(I6*0.15+J6*0.08+K6*0.08+L6*0.1+M6*0.08+P6*0.1+Q6*0.05+T6*0.15+U6*0.12+V6*0.09,2)</f>
        <v>8.4</v>
      </c>
    </row>
    <row r="7" customFormat="false" ht="15" hidden="false" customHeight="false" outlineLevel="0" collapsed="false">
      <c r="A7" s="12" t="n">
        <v>4</v>
      </c>
      <c r="B7" s="13" t="s">
        <v>25</v>
      </c>
      <c r="C7" s="13" t="s">
        <v>26</v>
      </c>
      <c r="D7" s="13" t="s">
        <v>42</v>
      </c>
      <c r="E7" s="14" t="s">
        <v>43</v>
      </c>
      <c r="F7" s="15" t="s">
        <v>44</v>
      </c>
      <c r="G7" s="13" t="s">
        <v>45</v>
      </c>
      <c r="H7" s="9" t="s">
        <v>31</v>
      </c>
      <c r="I7" s="12" t="n">
        <v>9</v>
      </c>
      <c r="J7" s="12" t="n">
        <v>8</v>
      </c>
      <c r="K7" s="12" t="n">
        <v>7</v>
      </c>
      <c r="L7" s="12" t="n">
        <v>9</v>
      </c>
      <c r="M7" s="12" t="n">
        <v>9</v>
      </c>
      <c r="N7" s="12" t="n">
        <v>4</v>
      </c>
      <c r="O7" s="16" t="n">
        <v>1200</v>
      </c>
      <c r="P7" s="12" t="n">
        <v>9</v>
      </c>
      <c r="Q7" s="12" t="n">
        <v>8</v>
      </c>
      <c r="R7" s="13" t="s">
        <v>37</v>
      </c>
      <c r="S7" s="12" t="s">
        <v>33</v>
      </c>
      <c r="T7" s="12" t="n">
        <v>8.5</v>
      </c>
      <c r="U7" s="12" t="n">
        <v>9.5</v>
      </c>
      <c r="V7" s="12" t="n">
        <v>7.5</v>
      </c>
      <c r="W7" s="17" t="n">
        <f aca="false">ROUND(I7*0.15+J7*0.08+K7*0.08+L7*0.1+M7*0.08+P7*0.1+Q7*0.05+T7*0.15+U7*0.12+V7*0.09,2)</f>
        <v>8.56</v>
      </c>
    </row>
    <row r="8" customFormat="false" ht="15" hidden="false" customHeight="false" outlineLevel="0" collapsed="false">
      <c r="A8" s="5" t="n">
        <v>5</v>
      </c>
      <c r="B8" s="6" t="s">
        <v>25</v>
      </c>
      <c r="C8" s="6" t="s">
        <v>26</v>
      </c>
      <c r="D8" s="6" t="s">
        <v>46</v>
      </c>
      <c r="E8" s="7" t="s">
        <v>47</v>
      </c>
      <c r="F8" s="8" t="s">
        <v>48</v>
      </c>
      <c r="G8" s="6" t="s">
        <v>49</v>
      </c>
      <c r="H8" s="9" t="s">
        <v>31</v>
      </c>
      <c r="I8" s="5" t="n">
        <v>9.2</v>
      </c>
      <c r="J8" s="5" t="n">
        <v>9</v>
      </c>
      <c r="K8" s="5" t="n">
        <v>7</v>
      </c>
      <c r="L8" s="5" t="n">
        <v>9</v>
      </c>
      <c r="M8" s="5" t="n">
        <v>8</v>
      </c>
      <c r="N8" s="5" t="n">
        <v>4</v>
      </c>
      <c r="O8" s="10" t="n">
        <v>1000</v>
      </c>
      <c r="P8" s="5" t="n">
        <v>8</v>
      </c>
      <c r="Q8" s="5" t="n">
        <v>8</v>
      </c>
      <c r="R8" s="6" t="s">
        <v>37</v>
      </c>
      <c r="S8" s="5" t="s">
        <v>33</v>
      </c>
      <c r="T8" s="5" t="n">
        <v>9</v>
      </c>
      <c r="U8" s="5" t="n">
        <v>9</v>
      </c>
      <c r="V8" s="5" t="n">
        <v>8</v>
      </c>
      <c r="W8" s="11" t="n">
        <f aca="false">ROUND(I8*0.15+J8*0.08+K8*0.08+L8*0.1+M8*0.08+P8*0.1+Q8*0.05+T8*0.15+U8*0.12+V8*0.09,2)</f>
        <v>8.55</v>
      </c>
    </row>
    <row r="9" customFormat="false" ht="15" hidden="false" customHeight="false" outlineLevel="0" collapsed="false">
      <c r="A9" s="12" t="n">
        <v>6</v>
      </c>
      <c r="B9" s="13" t="s">
        <v>25</v>
      </c>
      <c r="C9" s="13" t="s">
        <v>26</v>
      </c>
      <c r="D9" s="13" t="s">
        <v>50</v>
      </c>
      <c r="E9" s="14" t="s">
        <v>50</v>
      </c>
      <c r="F9" s="15" t="s">
        <v>51</v>
      </c>
      <c r="G9" s="13" t="s">
        <v>52</v>
      </c>
      <c r="H9" s="9" t="s">
        <v>31</v>
      </c>
      <c r="I9" s="12" t="n">
        <v>9.5</v>
      </c>
      <c r="J9" s="12" t="n">
        <v>5</v>
      </c>
      <c r="K9" s="12" t="n">
        <v>3</v>
      </c>
      <c r="L9" s="12" t="n">
        <v>9</v>
      </c>
      <c r="M9" s="12" t="n">
        <v>8</v>
      </c>
      <c r="N9" s="12" t="n">
        <v>8</v>
      </c>
      <c r="O9" s="16" t="n">
        <v>1500</v>
      </c>
      <c r="P9" s="12" t="n">
        <v>7</v>
      </c>
      <c r="Q9" s="12" t="n">
        <v>5</v>
      </c>
      <c r="R9" s="13" t="s">
        <v>53</v>
      </c>
      <c r="S9" s="12" t="s">
        <v>54</v>
      </c>
      <c r="T9" s="12" t="n">
        <v>10</v>
      </c>
      <c r="U9" s="12" t="n">
        <v>8</v>
      </c>
      <c r="V9" s="12" t="n">
        <v>7</v>
      </c>
      <c r="W9" s="17" t="n">
        <f aca="false">ROUND(I9*0.15+J9*0.08+K9*0.08+L9*0.1+M9*0.08+P9*0.1+Q9*0.05+T9*0.15+U9*0.12+V9*0.09,2)</f>
        <v>7.65</v>
      </c>
    </row>
    <row r="10" customFormat="false" ht="15" hidden="false" customHeight="false" outlineLevel="0" collapsed="false">
      <c r="A10" s="5" t="n">
        <v>7</v>
      </c>
      <c r="B10" s="6" t="s">
        <v>25</v>
      </c>
      <c r="C10" s="6" t="s">
        <v>26</v>
      </c>
      <c r="D10" s="6" t="s">
        <v>55</v>
      </c>
      <c r="E10" s="7" t="s">
        <v>56</v>
      </c>
      <c r="F10" s="8" t="s">
        <v>57</v>
      </c>
      <c r="G10" s="6" t="s">
        <v>30</v>
      </c>
      <c r="H10" s="9" t="s">
        <v>31</v>
      </c>
      <c r="I10" s="5" t="n">
        <v>9</v>
      </c>
      <c r="J10" s="5" t="n">
        <v>7</v>
      </c>
      <c r="K10" s="5" t="n">
        <v>6</v>
      </c>
      <c r="L10" s="5" t="n">
        <v>9</v>
      </c>
      <c r="M10" s="5" t="n">
        <v>8</v>
      </c>
      <c r="N10" s="5" t="n">
        <v>4</v>
      </c>
      <c r="O10" s="10" t="n">
        <v>1000</v>
      </c>
      <c r="P10" s="5" t="n">
        <v>7</v>
      </c>
      <c r="Q10" s="5" t="n">
        <v>7</v>
      </c>
      <c r="R10" s="6" t="s">
        <v>37</v>
      </c>
      <c r="S10" s="5" t="s">
        <v>33</v>
      </c>
      <c r="T10" s="5" t="n">
        <v>9.5</v>
      </c>
      <c r="U10" s="5" t="n">
        <v>8.5</v>
      </c>
      <c r="V10" s="5" t="n">
        <v>8</v>
      </c>
      <c r="W10" s="11" t="n">
        <f aca="false">ROUND(I10*0.15+J10*0.08+K10*0.08+L10*0.1+M10*0.08+P10*0.1+Q10*0.05+T10*0.15+U10*0.12+V10*0.09,2)</f>
        <v>8.15</v>
      </c>
    </row>
    <row r="11" customFormat="false" ht="15" hidden="false" customHeight="false" outlineLevel="0" collapsed="false">
      <c r="A11" s="12" t="n">
        <v>8</v>
      </c>
      <c r="B11" s="13" t="s">
        <v>25</v>
      </c>
      <c r="C11" s="13" t="s">
        <v>26</v>
      </c>
      <c r="D11" s="13" t="s">
        <v>58</v>
      </c>
      <c r="E11" s="14" t="s">
        <v>59</v>
      </c>
      <c r="F11" s="15" t="s">
        <v>60</v>
      </c>
      <c r="G11" s="13" t="s">
        <v>61</v>
      </c>
      <c r="H11" s="9" t="s">
        <v>31</v>
      </c>
      <c r="I11" s="12" t="n">
        <v>9.2</v>
      </c>
      <c r="J11" s="12" t="n">
        <v>7</v>
      </c>
      <c r="K11" s="12" t="n">
        <v>5</v>
      </c>
      <c r="L11" s="12" t="n">
        <v>10</v>
      </c>
      <c r="M11" s="12" t="n">
        <v>7</v>
      </c>
      <c r="N11" s="12" t="n">
        <v>5</v>
      </c>
      <c r="O11" s="16" t="n">
        <v>1300</v>
      </c>
      <c r="P11" s="12" t="n">
        <v>6</v>
      </c>
      <c r="Q11" s="12" t="n">
        <v>5</v>
      </c>
      <c r="R11" s="13" t="s">
        <v>53</v>
      </c>
      <c r="S11" s="12" t="s">
        <v>62</v>
      </c>
      <c r="T11" s="12" t="n">
        <v>9</v>
      </c>
      <c r="U11" s="12" t="n">
        <v>8</v>
      </c>
      <c r="V11" s="12" t="n">
        <v>7.5</v>
      </c>
      <c r="W11" s="17" t="n">
        <f aca="false">ROUND(I11*0.15+J11*0.08+K11*0.08+L11*0.1+M11*0.08+P11*0.1+Q11*0.05+T11*0.15+U11*0.12+V11*0.09,2)</f>
        <v>7.74</v>
      </c>
    </row>
    <row r="12" customFormat="false" ht="15" hidden="false" customHeight="false" outlineLevel="0" collapsed="false">
      <c r="A12" s="5" t="n">
        <v>9</v>
      </c>
      <c r="B12" s="6" t="s">
        <v>25</v>
      </c>
      <c r="C12" s="6" t="s">
        <v>26</v>
      </c>
      <c r="D12" s="6" t="s">
        <v>63</v>
      </c>
      <c r="E12" s="7" t="s">
        <v>64</v>
      </c>
      <c r="F12" s="8" t="s">
        <v>65</v>
      </c>
      <c r="G12" s="6" t="s">
        <v>66</v>
      </c>
      <c r="H12" s="9" t="s">
        <v>31</v>
      </c>
      <c r="I12" s="5" t="n">
        <v>9</v>
      </c>
      <c r="J12" s="5" t="n">
        <v>9</v>
      </c>
      <c r="K12" s="5" t="n">
        <v>6</v>
      </c>
      <c r="L12" s="5" t="n">
        <v>8</v>
      </c>
      <c r="M12" s="5" t="n">
        <v>7</v>
      </c>
      <c r="N12" s="5" t="n">
        <v>4</v>
      </c>
      <c r="O12" s="10" t="n">
        <v>1200</v>
      </c>
      <c r="P12" s="5" t="n">
        <v>7</v>
      </c>
      <c r="Q12" s="5" t="n">
        <v>7</v>
      </c>
      <c r="R12" s="6" t="s">
        <v>67</v>
      </c>
      <c r="S12" s="5" t="s">
        <v>68</v>
      </c>
      <c r="T12" s="5" t="n">
        <v>8</v>
      </c>
      <c r="U12" s="5" t="n">
        <v>9</v>
      </c>
      <c r="V12" s="5" t="n">
        <v>7</v>
      </c>
      <c r="W12" s="11" t="n">
        <f aca="false">ROUND(I12*0.15+J12*0.08+K12*0.08+L12*0.1+M12*0.08+P12*0.1+Q12*0.05+T12*0.15+U12*0.12+V12*0.09,2)</f>
        <v>7.87</v>
      </c>
    </row>
    <row r="13" customFormat="false" ht="15" hidden="false" customHeight="false" outlineLevel="0" collapsed="false">
      <c r="A13" s="12" t="n">
        <v>10</v>
      </c>
      <c r="B13" s="13" t="s">
        <v>25</v>
      </c>
      <c r="C13" s="13" t="s">
        <v>26</v>
      </c>
      <c r="D13" s="13" t="s">
        <v>69</v>
      </c>
      <c r="E13" s="14" t="s">
        <v>70</v>
      </c>
      <c r="F13" s="15" t="s">
        <v>71</v>
      </c>
      <c r="G13" s="13" t="s">
        <v>72</v>
      </c>
      <c r="H13" s="9" t="s">
        <v>31</v>
      </c>
      <c r="I13" s="12" t="n">
        <v>9</v>
      </c>
      <c r="J13" s="12" t="n">
        <v>6</v>
      </c>
      <c r="K13" s="12" t="n">
        <v>7</v>
      </c>
      <c r="L13" s="12" t="n">
        <v>9</v>
      </c>
      <c r="M13" s="12" t="n">
        <v>8</v>
      </c>
      <c r="N13" s="12" t="n">
        <v>2</v>
      </c>
      <c r="O13" s="16" t="n">
        <v>1100</v>
      </c>
      <c r="P13" s="12" t="n">
        <v>7</v>
      </c>
      <c r="Q13" s="12" t="n">
        <v>8</v>
      </c>
      <c r="R13" s="13" t="s">
        <v>67</v>
      </c>
      <c r="S13" s="12" t="s">
        <v>38</v>
      </c>
      <c r="T13" s="12" t="n">
        <v>9</v>
      </c>
      <c r="U13" s="12" t="n">
        <v>9</v>
      </c>
      <c r="V13" s="12" t="n">
        <v>7.5</v>
      </c>
      <c r="W13" s="17" t="n">
        <f aca="false">ROUND(I13*0.15+J13*0.08+K13*0.08+L13*0.1+M13*0.08+P13*0.1+Q13*0.05+T13*0.15+U13*0.12+V13*0.09,2)</f>
        <v>8.14</v>
      </c>
    </row>
    <row r="14" customFormat="false" ht="15" hidden="false" customHeight="false" outlineLevel="0" collapsed="false">
      <c r="A14" s="5" t="n">
        <v>11</v>
      </c>
      <c r="B14" s="6" t="s">
        <v>25</v>
      </c>
      <c r="C14" s="6" t="s">
        <v>26</v>
      </c>
      <c r="D14" s="6" t="s">
        <v>73</v>
      </c>
      <c r="E14" s="7" t="s">
        <v>74</v>
      </c>
      <c r="F14" s="8" t="s">
        <v>75</v>
      </c>
      <c r="G14" s="6" t="s">
        <v>76</v>
      </c>
      <c r="H14" s="9" t="s">
        <v>31</v>
      </c>
      <c r="I14" s="5" t="n">
        <v>9</v>
      </c>
      <c r="J14" s="5" t="n">
        <v>4</v>
      </c>
      <c r="K14" s="5" t="n">
        <v>3</v>
      </c>
      <c r="L14" s="5" t="n">
        <v>9</v>
      </c>
      <c r="M14" s="5" t="n">
        <v>8</v>
      </c>
      <c r="N14" s="5" t="n">
        <v>6</v>
      </c>
      <c r="O14" s="10" t="n">
        <v>1200</v>
      </c>
      <c r="P14" s="5" t="n">
        <v>6</v>
      </c>
      <c r="Q14" s="5" t="n">
        <v>4</v>
      </c>
      <c r="R14" s="6" t="s">
        <v>77</v>
      </c>
      <c r="S14" s="5" t="s">
        <v>78</v>
      </c>
      <c r="T14" s="5" t="n">
        <v>9</v>
      </c>
      <c r="U14" s="5" t="n">
        <v>7.5</v>
      </c>
      <c r="V14" s="5" t="n">
        <v>7</v>
      </c>
      <c r="W14" s="11" t="n">
        <f aca="false">ROUND(I14*0.15+J14*0.08+K14*0.08+L14*0.1+M14*0.08+P14*0.1+Q14*0.05+T14*0.15+U14*0.12+V14*0.09,2)</f>
        <v>7.13</v>
      </c>
    </row>
    <row r="15" customFormat="false" ht="15" hidden="false" customHeight="false" outlineLevel="0" collapsed="false">
      <c r="A15" s="12" t="n">
        <v>12</v>
      </c>
      <c r="B15" s="13" t="s">
        <v>25</v>
      </c>
      <c r="C15" s="13" t="s">
        <v>26</v>
      </c>
      <c r="D15" s="13" t="s">
        <v>79</v>
      </c>
      <c r="E15" s="14" t="s">
        <v>80</v>
      </c>
      <c r="F15" s="15" t="s">
        <v>81</v>
      </c>
      <c r="G15" s="13" t="s">
        <v>82</v>
      </c>
      <c r="H15" s="9" t="s">
        <v>31</v>
      </c>
      <c r="I15" s="12" t="n">
        <v>8.8</v>
      </c>
      <c r="J15" s="12" t="n">
        <v>7</v>
      </c>
      <c r="K15" s="12" t="n">
        <v>8</v>
      </c>
      <c r="L15" s="12" t="n">
        <v>10</v>
      </c>
      <c r="M15" s="12" t="n">
        <v>7</v>
      </c>
      <c r="N15" s="12" t="n">
        <v>5</v>
      </c>
      <c r="O15" s="16" t="n">
        <v>1500</v>
      </c>
      <c r="P15" s="12" t="n">
        <v>8</v>
      </c>
      <c r="Q15" s="12" t="n">
        <v>7</v>
      </c>
      <c r="R15" s="13" t="s">
        <v>83</v>
      </c>
      <c r="S15" s="12" t="s">
        <v>84</v>
      </c>
      <c r="T15" s="12" t="n">
        <v>8</v>
      </c>
      <c r="U15" s="12" t="n">
        <v>9</v>
      </c>
      <c r="V15" s="12" t="n">
        <v>6.5</v>
      </c>
      <c r="W15" s="17" t="n">
        <f aca="false">ROUND(I15*0.15+J15*0.08+K15*0.08+L15*0.1+M15*0.08+P15*0.1+Q15*0.05+T15*0.15+U15*0.12+V15*0.09,2)</f>
        <v>8.1</v>
      </c>
    </row>
    <row r="16" customFormat="false" ht="15" hidden="false" customHeight="false" outlineLevel="0" collapsed="false">
      <c r="A16" s="5" t="n">
        <v>13</v>
      </c>
      <c r="B16" s="6" t="s">
        <v>25</v>
      </c>
      <c r="C16" s="6" t="s">
        <v>26</v>
      </c>
      <c r="D16" s="6" t="s">
        <v>85</v>
      </c>
      <c r="E16" s="7" t="s">
        <v>86</v>
      </c>
      <c r="F16" s="8" t="s">
        <v>87</v>
      </c>
      <c r="G16" s="6" t="s">
        <v>88</v>
      </c>
      <c r="H16" s="9" t="s">
        <v>31</v>
      </c>
      <c r="I16" s="5" t="n">
        <v>9.3</v>
      </c>
      <c r="J16" s="5" t="n">
        <v>6</v>
      </c>
      <c r="K16" s="5" t="n">
        <v>5</v>
      </c>
      <c r="L16" s="5" t="n">
        <v>9</v>
      </c>
      <c r="M16" s="5" t="n">
        <v>8</v>
      </c>
      <c r="N16" s="5" t="n">
        <v>4</v>
      </c>
      <c r="O16" s="10" t="n">
        <v>1100</v>
      </c>
      <c r="P16" s="5" t="n">
        <v>5</v>
      </c>
      <c r="Q16" s="5" t="n">
        <v>5</v>
      </c>
      <c r="R16" s="6" t="s">
        <v>89</v>
      </c>
      <c r="S16" s="5" t="s">
        <v>90</v>
      </c>
      <c r="T16" s="5" t="n">
        <v>9.5</v>
      </c>
      <c r="U16" s="5" t="n">
        <v>7.5</v>
      </c>
      <c r="V16" s="5" t="n">
        <v>7.5</v>
      </c>
      <c r="W16" s="11" t="n">
        <f aca="false">ROUND(I16*0.15+J16*0.08+K16*0.08+L16*0.1+M16*0.08+P16*0.1+Q16*0.05+T16*0.15+U16*0.12+V16*0.09,2)</f>
        <v>7.57</v>
      </c>
    </row>
    <row r="17" customFormat="false" ht="15" hidden="false" customHeight="false" outlineLevel="0" collapsed="false">
      <c r="A17" s="12" t="n">
        <v>14</v>
      </c>
      <c r="B17" s="13" t="s">
        <v>25</v>
      </c>
      <c r="C17" s="13" t="s">
        <v>26</v>
      </c>
      <c r="D17" s="13" t="s">
        <v>91</v>
      </c>
      <c r="E17" s="14" t="s">
        <v>92</v>
      </c>
      <c r="F17" s="15" t="s">
        <v>93</v>
      </c>
      <c r="G17" s="13" t="s">
        <v>94</v>
      </c>
      <c r="H17" s="9" t="s">
        <v>31</v>
      </c>
      <c r="I17" s="12" t="n">
        <v>8.8</v>
      </c>
      <c r="J17" s="12" t="n">
        <v>7</v>
      </c>
      <c r="K17" s="12" t="n">
        <v>6</v>
      </c>
      <c r="L17" s="12" t="n">
        <v>9</v>
      </c>
      <c r="M17" s="12" t="n">
        <v>8</v>
      </c>
      <c r="N17" s="12" t="n">
        <v>4</v>
      </c>
      <c r="O17" s="16" t="n">
        <v>1100</v>
      </c>
      <c r="P17" s="12" t="n">
        <v>8</v>
      </c>
      <c r="Q17" s="12" t="n">
        <v>8</v>
      </c>
      <c r="R17" s="13" t="s">
        <v>95</v>
      </c>
      <c r="S17" s="12" t="s">
        <v>96</v>
      </c>
      <c r="T17" s="12" t="n">
        <v>8.5</v>
      </c>
      <c r="U17" s="12" t="n">
        <v>8.5</v>
      </c>
      <c r="V17" s="12" t="n">
        <v>8</v>
      </c>
      <c r="W17" s="17" t="n">
        <f aca="false">ROUND(I17*0.15+J17*0.08+K17*0.08+L17*0.1+M17*0.08+P17*0.1+Q17*0.05+T17*0.15+U17*0.12+V17*0.09,2)</f>
        <v>8.12</v>
      </c>
    </row>
    <row r="18" customFormat="false" ht="15" hidden="false" customHeight="false" outlineLevel="0" collapsed="false">
      <c r="A18" s="5" t="n">
        <v>15</v>
      </c>
      <c r="B18" s="6" t="s">
        <v>25</v>
      </c>
      <c r="C18" s="6" t="s">
        <v>26</v>
      </c>
      <c r="D18" s="6" t="s">
        <v>97</v>
      </c>
      <c r="E18" s="7" t="s">
        <v>98</v>
      </c>
      <c r="F18" s="8" t="s">
        <v>99</v>
      </c>
      <c r="G18" s="6" t="s">
        <v>30</v>
      </c>
      <c r="H18" s="9" t="s">
        <v>31</v>
      </c>
      <c r="I18" s="5" t="n">
        <v>9</v>
      </c>
      <c r="J18" s="5" t="n">
        <v>6</v>
      </c>
      <c r="K18" s="5" t="n">
        <v>5</v>
      </c>
      <c r="L18" s="5" t="n">
        <v>8</v>
      </c>
      <c r="M18" s="5" t="n">
        <v>8</v>
      </c>
      <c r="N18" s="5" t="n">
        <v>4</v>
      </c>
      <c r="O18" s="10" t="n">
        <v>1100</v>
      </c>
      <c r="P18" s="5" t="n">
        <v>7</v>
      </c>
      <c r="Q18" s="5" t="n">
        <v>7</v>
      </c>
      <c r="R18" s="6" t="s">
        <v>37</v>
      </c>
      <c r="S18" s="5" t="s">
        <v>100</v>
      </c>
      <c r="T18" s="5" t="n">
        <v>9.5</v>
      </c>
      <c r="U18" s="5" t="n">
        <v>8</v>
      </c>
      <c r="V18" s="5" t="n">
        <v>7.5</v>
      </c>
      <c r="W18" s="11" t="n">
        <f aca="false">ROUND(I18*0.15+J18*0.08+K18*0.08+L18*0.1+M18*0.08+P18*0.1+Q18*0.05+T18*0.15+U18*0.12+V18*0.09,2)</f>
        <v>7.78</v>
      </c>
    </row>
    <row r="19" customFormat="false" ht="15" hidden="false" customHeight="false" outlineLevel="0" collapsed="false">
      <c r="A19" s="12" t="n">
        <v>16</v>
      </c>
      <c r="B19" s="13" t="s">
        <v>25</v>
      </c>
      <c r="C19" s="13" t="s">
        <v>26</v>
      </c>
      <c r="D19" s="13" t="s">
        <v>101</v>
      </c>
      <c r="E19" s="14" t="s">
        <v>102</v>
      </c>
      <c r="F19" s="15" t="s">
        <v>103</v>
      </c>
      <c r="G19" s="13" t="s">
        <v>41</v>
      </c>
      <c r="H19" s="9" t="s">
        <v>31</v>
      </c>
      <c r="I19" s="12" t="n">
        <v>9</v>
      </c>
      <c r="J19" s="12" t="n">
        <v>5</v>
      </c>
      <c r="K19" s="12" t="n">
        <v>5</v>
      </c>
      <c r="L19" s="12" t="n">
        <v>8</v>
      </c>
      <c r="M19" s="12" t="n">
        <v>9</v>
      </c>
      <c r="N19" s="12" t="n">
        <v>5</v>
      </c>
      <c r="O19" s="16" t="n">
        <v>1200</v>
      </c>
      <c r="P19" s="12" t="n">
        <v>6</v>
      </c>
      <c r="Q19" s="12" t="n">
        <v>7</v>
      </c>
      <c r="R19" s="13" t="s">
        <v>104</v>
      </c>
      <c r="S19" s="12" t="s">
        <v>105</v>
      </c>
      <c r="T19" s="12" t="n">
        <v>9.5</v>
      </c>
      <c r="U19" s="12" t="n">
        <v>8</v>
      </c>
      <c r="V19" s="12" t="n">
        <v>7.5</v>
      </c>
      <c r="W19" s="17" t="n">
        <f aca="false">ROUND(I19*0.15+J19*0.08+K19*0.08+L19*0.1+M19*0.08+P19*0.1+Q19*0.05+T19*0.15+U19*0.12+V19*0.09,2)</f>
        <v>7.68</v>
      </c>
    </row>
    <row r="20" customFormat="false" ht="15" hidden="false" customHeight="false" outlineLevel="0" collapsed="false">
      <c r="A20" s="5" t="n">
        <v>17</v>
      </c>
      <c r="B20" s="6" t="s">
        <v>25</v>
      </c>
      <c r="C20" s="6" t="s">
        <v>26</v>
      </c>
      <c r="D20" s="6" t="s">
        <v>106</v>
      </c>
      <c r="E20" s="7" t="s">
        <v>107</v>
      </c>
      <c r="F20" s="8" t="s">
        <v>108</v>
      </c>
      <c r="G20" s="6" t="s">
        <v>30</v>
      </c>
      <c r="H20" s="9" t="s">
        <v>31</v>
      </c>
      <c r="I20" s="5" t="n">
        <v>8.3</v>
      </c>
      <c r="J20" s="5" t="n">
        <v>7</v>
      </c>
      <c r="K20" s="5" t="n">
        <v>7</v>
      </c>
      <c r="L20" s="5" t="n">
        <v>7</v>
      </c>
      <c r="M20" s="5" t="n">
        <v>8</v>
      </c>
      <c r="N20" s="5" t="n">
        <v>3</v>
      </c>
      <c r="O20" s="10" t="n">
        <v>1000</v>
      </c>
      <c r="P20" s="5" t="n">
        <v>8</v>
      </c>
      <c r="Q20" s="5" t="n">
        <v>8</v>
      </c>
      <c r="R20" s="6" t="s">
        <v>109</v>
      </c>
      <c r="S20" s="5" t="s">
        <v>110</v>
      </c>
      <c r="T20" s="5" t="n">
        <v>8</v>
      </c>
      <c r="U20" s="5" t="n">
        <v>9</v>
      </c>
      <c r="V20" s="5" t="n">
        <v>8</v>
      </c>
      <c r="W20" s="11" t="n">
        <f aca="false">ROUND(I20*0.15+J20*0.08+K20*0.08+L20*0.1+M20*0.08+P20*0.1+Q20*0.05+T20*0.15+U20*0.12+V20*0.09,2)</f>
        <v>7.91</v>
      </c>
    </row>
    <row r="21" customFormat="false" ht="15" hidden="false" customHeight="false" outlineLevel="0" collapsed="false">
      <c r="A21" s="12" t="n">
        <v>18</v>
      </c>
      <c r="B21" s="13" t="s">
        <v>25</v>
      </c>
      <c r="C21" s="13" t="s">
        <v>26</v>
      </c>
      <c r="D21" s="13" t="s">
        <v>101</v>
      </c>
      <c r="E21" s="14" t="s">
        <v>111</v>
      </c>
      <c r="F21" s="15" t="s">
        <v>112</v>
      </c>
      <c r="G21" s="13" t="s">
        <v>113</v>
      </c>
      <c r="H21" s="9" t="s">
        <v>31</v>
      </c>
      <c r="I21" s="12" t="n">
        <v>9</v>
      </c>
      <c r="J21" s="12" t="n">
        <v>3</v>
      </c>
      <c r="K21" s="12" t="n">
        <v>3</v>
      </c>
      <c r="L21" s="12" t="n">
        <v>8</v>
      </c>
      <c r="M21" s="12" t="n">
        <v>9</v>
      </c>
      <c r="N21" s="12" t="n">
        <v>8</v>
      </c>
      <c r="O21" s="16" t="n">
        <v>1100</v>
      </c>
      <c r="P21" s="12" t="n">
        <v>5</v>
      </c>
      <c r="Q21" s="12" t="n">
        <v>5</v>
      </c>
      <c r="R21" s="13" t="s">
        <v>37</v>
      </c>
      <c r="S21" s="12" t="s">
        <v>100</v>
      </c>
      <c r="T21" s="12" t="n">
        <v>9.5</v>
      </c>
      <c r="U21" s="12" t="n">
        <v>7</v>
      </c>
      <c r="V21" s="12" t="n">
        <v>8</v>
      </c>
      <c r="W21" s="17" t="n">
        <f aca="false">ROUND(I21*0.15+J21*0.08+K21*0.08+L21*0.1+M21*0.08+P21*0.1+Q21*0.05+T21*0.15+U21*0.12+V21*0.09,2)</f>
        <v>7.09</v>
      </c>
    </row>
    <row r="22" customFormat="false" ht="15" hidden="false" customHeight="false" outlineLevel="0" collapsed="false">
      <c r="A22" s="5" t="n">
        <v>19</v>
      </c>
      <c r="B22" s="6" t="s">
        <v>25</v>
      </c>
      <c r="C22" s="6" t="s">
        <v>26</v>
      </c>
      <c r="D22" s="6" t="s">
        <v>114</v>
      </c>
      <c r="E22" s="7" t="s">
        <v>114</v>
      </c>
      <c r="F22" s="8" t="s">
        <v>115</v>
      </c>
      <c r="G22" s="6" t="s">
        <v>116</v>
      </c>
      <c r="H22" s="9" t="s">
        <v>31</v>
      </c>
      <c r="I22" s="5" t="n">
        <v>9.2</v>
      </c>
      <c r="J22" s="5" t="n">
        <v>4</v>
      </c>
      <c r="K22" s="5" t="n">
        <v>3</v>
      </c>
      <c r="L22" s="5" t="n">
        <v>8</v>
      </c>
      <c r="M22" s="5" t="n">
        <v>9</v>
      </c>
      <c r="N22" s="5" t="n">
        <v>8</v>
      </c>
      <c r="O22" s="10" t="n">
        <v>1300</v>
      </c>
      <c r="P22" s="5" t="n">
        <v>4</v>
      </c>
      <c r="Q22" s="5" t="n">
        <v>5</v>
      </c>
      <c r="R22" s="6" t="s">
        <v>117</v>
      </c>
      <c r="S22" s="5" t="s">
        <v>118</v>
      </c>
      <c r="T22" s="5" t="n">
        <v>10</v>
      </c>
      <c r="U22" s="5" t="n">
        <v>7</v>
      </c>
      <c r="V22" s="5" t="n">
        <v>7.5</v>
      </c>
      <c r="W22" s="11" t="n">
        <f aca="false">ROUND(I22*0.15+J22*0.08+K22*0.08+L22*0.1+M22*0.08+P22*0.1+Q22*0.05+T22*0.15+U22*0.12+V22*0.09,2)</f>
        <v>7.13</v>
      </c>
    </row>
    <row r="23" customFormat="false" ht="15" hidden="false" customHeight="false" outlineLevel="0" collapsed="false">
      <c r="A23" s="12" t="n">
        <v>20</v>
      </c>
      <c r="B23" s="13" t="s">
        <v>25</v>
      </c>
      <c r="C23" s="13" t="s">
        <v>26</v>
      </c>
      <c r="D23" s="13" t="s">
        <v>119</v>
      </c>
      <c r="E23" s="14" t="s">
        <v>120</v>
      </c>
      <c r="F23" s="15" t="s">
        <v>121</v>
      </c>
      <c r="G23" s="13" t="s">
        <v>122</v>
      </c>
      <c r="H23" s="9" t="s">
        <v>31</v>
      </c>
      <c r="I23" s="12" t="n">
        <v>8.5</v>
      </c>
      <c r="J23" s="12" t="n">
        <v>7</v>
      </c>
      <c r="K23" s="12" t="n">
        <v>7</v>
      </c>
      <c r="L23" s="12" t="n">
        <v>8</v>
      </c>
      <c r="M23" s="12" t="n">
        <v>8</v>
      </c>
      <c r="N23" s="12" t="n">
        <v>4</v>
      </c>
      <c r="O23" s="16" t="n">
        <v>1000</v>
      </c>
      <c r="P23" s="12" t="n">
        <v>6</v>
      </c>
      <c r="Q23" s="12" t="n">
        <v>7</v>
      </c>
      <c r="R23" s="13" t="s">
        <v>123</v>
      </c>
      <c r="S23" s="12" t="s">
        <v>124</v>
      </c>
      <c r="T23" s="12" t="n">
        <v>8</v>
      </c>
      <c r="U23" s="12" t="n">
        <v>8</v>
      </c>
      <c r="V23" s="12" t="n">
        <v>8</v>
      </c>
      <c r="W23" s="17" t="n">
        <f aca="false">ROUND(I23*0.15+J23*0.08+K23*0.08+L23*0.1+M23*0.08+P23*0.1+Q23*0.05+T23*0.15+U23*0.12+V23*0.09,2)</f>
        <v>7.67</v>
      </c>
    </row>
    <row r="24" customFormat="false" ht="15" hidden="false" customHeight="false" outlineLevel="0" collapsed="false">
      <c r="A24" s="5" t="n">
        <v>21</v>
      </c>
      <c r="B24" s="6" t="s">
        <v>25</v>
      </c>
      <c r="C24" s="6" t="s">
        <v>125</v>
      </c>
      <c r="D24" s="6" t="s">
        <v>126</v>
      </c>
      <c r="E24" s="7" t="s">
        <v>127</v>
      </c>
      <c r="F24" s="8" t="s">
        <v>128</v>
      </c>
      <c r="G24" s="6" t="s">
        <v>30</v>
      </c>
      <c r="H24" s="9" t="s">
        <v>31</v>
      </c>
      <c r="I24" s="5" t="n">
        <v>8.8</v>
      </c>
      <c r="J24" s="5" t="n">
        <v>7</v>
      </c>
      <c r="K24" s="5" t="n">
        <v>7</v>
      </c>
      <c r="L24" s="5" t="n">
        <v>9</v>
      </c>
      <c r="M24" s="5" t="n">
        <v>9</v>
      </c>
      <c r="N24" s="5" t="n">
        <v>3</v>
      </c>
      <c r="O24" s="10" t="n">
        <v>800</v>
      </c>
      <c r="P24" s="5" t="n">
        <v>9</v>
      </c>
      <c r="Q24" s="5" t="n">
        <v>8</v>
      </c>
      <c r="R24" s="6" t="s">
        <v>37</v>
      </c>
      <c r="S24" s="5" t="s">
        <v>129</v>
      </c>
      <c r="T24" s="5" t="n">
        <v>9</v>
      </c>
      <c r="U24" s="5" t="n">
        <v>9.5</v>
      </c>
      <c r="V24" s="5" t="n">
        <v>8</v>
      </c>
      <c r="W24" s="11" t="n">
        <f aca="false">ROUND(I24*0.15+J24*0.08+K24*0.08+L24*0.1+M24*0.08+P24*0.1+Q24*0.05+T24*0.15+U24*0.12+V24*0.09,2)</f>
        <v>8.57</v>
      </c>
    </row>
    <row r="25" customFormat="false" ht="15" hidden="false" customHeight="false" outlineLevel="0" collapsed="false">
      <c r="A25" s="12" t="n">
        <v>22</v>
      </c>
      <c r="B25" s="13" t="s">
        <v>25</v>
      </c>
      <c r="C25" s="13" t="s">
        <v>125</v>
      </c>
      <c r="D25" s="13" t="s">
        <v>126</v>
      </c>
      <c r="E25" s="14" t="s">
        <v>130</v>
      </c>
      <c r="F25" s="15" t="s">
        <v>131</v>
      </c>
      <c r="G25" s="13" t="s">
        <v>132</v>
      </c>
      <c r="H25" s="9" t="s">
        <v>31</v>
      </c>
      <c r="I25" s="12" t="n">
        <v>8.5</v>
      </c>
      <c r="J25" s="12" t="n">
        <v>6</v>
      </c>
      <c r="K25" s="12" t="n">
        <v>6</v>
      </c>
      <c r="L25" s="12" t="n">
        <v>9</v>
      </c>
      <c r="M25" s="12" t="n">
        <v>9</v>
      </c>
      <c r="N25" s="12" t="n">
        <v>2</v>
      </c>
      <c r="O25" s="16" t="n">
        <v>800</v>
      </c>
      <c r="P25" s="12" t="n">
        <v>10</v>
      </c>
      <c r="Q25" s="12" t="n">
        <v>8</v>
      </c>
      <c r="R25" s="13" t="s">
        <v>37</v>
      </c>
      <c r="S25" s="12" t="s">
        <v>129</v>
      </c>
      <c r="T25" s="12" t="n">
        <v>8</v>
      </c>
      <c r="U25" s="12" t="n">
        <v>9</v>
      </c>
      <c r="V25" s="12" t="n">
        <v>8.5</v>
      </c>
      <c r="W25" s="17" t="n">
        <f aca="false">ROUND(I25*0.15+J25*0.08+K25*0.08+L25*0.1+M25*0.08+P25*0.1+Q25*0.05+T25*0.15+U25*0.12+V25*0.09,2)</f>
        <v>8.3</v>
      </c>
    </row>
    <row r="26" customFormat="false" ht="15" hidden="false" customHeight="false" outlineLevel="0" collapsed="false">
      <c r="A26" s="5" t="n">
        <v>23</v>
      </c>
      <c r="B26" s="6" t="s">
        <v>25</v>
      </c>
      <c r="C26" s="6" t="s">
        <v>125</v>
      </c>
      <c r="D26" s="6" t="s">
        <v>133</v>
      </c>
      <c r="E26" s="7" t="s">
        <v>134</v>
      </c>
      <c r="F26" s="8" t="s">
        <v>135</v>
      </c>
      <c r="G26" s="6" t="s">
        <v>52</v>
      </c>
      <c r="H26" s="9" t="s">
        <v>31</v>
      </c>
      <c r="I26" s="5" t="n">
        <v>8.8</v>
      </c>
      <c r="J26" s="5" t="n">
        <v>5</v>
      </c>
      <c r="K26" s="5" t="n">
        <v>3</v>
      </c>
      <c r="L26" s="5" t="n">
        <v>8</v>
      </c>
      <c r="M26" s="5" t="n">
        <v>8</v>
      </c>
      <c r="N26" s="5" t="n">
        <v>7</v>
      </c>
      <c r="O26" s="10" t="n">
        <v>700</v>
      </c>
      <c r="P26" s="5" t="n">
        <v>7</v>
      </c>
      <c r="Q26" s="5" t="n">
        <v>7</v>
      </c>
      <c r="R26" s="6" t="s">
        <v>37</v>
      </c>
      <c r="S26" s="5" t="s">
        <v>100</v>
      </c>
      <c r="T26" s="5" t="n">
        <v>8.5</v>
      </c>
      <c r="U26" s="5" t="n">
        <v>8</v>
      </c>
      <c r="V26" s="5" t="n">
        <v>8.5</v>
      </c>
      <c r="W26" s="11" t="n">
        <f aca="false">ROUND(I26*0.15+J26*0.08+K26*0.08+L26*0.1+M26*0.08+P26*0.1+Q26*0.05+T26*0.15+U26*0.12+V26*0.09,2)</f>
        <v>7.45</v>
      </c>
    </row>
    <row r="27" customFormat="false" ht="15" hidden="false" customHeight="false" outlineLevel="0" collapsed="false">
      <c r="A27" s="12" t="n">
        <v>24</v>
      </c>
      <c r="B27" s="13" t="s">
        <v>25</v>
      </c>
      <c r="C27" s="13" t="s">
        <v>125</v>
      </c>
      <c r="D27" s="13" t="s">
        <v>133</v>
      </c>
      <c r="E27" s="14" t="s">
        <v>136</v>
      </c>
      <c r="F27" s="15" t="s">
        <v>137</v>
      </c>
      <c r="G27" s="13" t="s">
        <v>138</v>
      </c>
      <c r="H27" s="9" t="s">
        <v>31</v>
      </c>
      <c r="I27" s="12" t="n">
        <v>9</v>
      </c>
      <c r="J27" s="12" t="n">
        <v>7</v>
      </c>
      <c r="K27" s="12" t="n">
        <v>5</v>
      </c>
      <c r="L27" s="12" t="n">
        <v>9</v>
      </c>
      <c r="M27" s="12" t="n">
        <v>8</v>
      </c>
      <c r="N27" s="12" t="n">
        <v>3</v>
      </c>
      <c r="O27" s="16" t="n">
        <v>700</v>
      </c>
      <c r="P27" s="12" t="n">
        <v>7</v>
      </c>
      <c r="Q27" s="12" t="n">
        <v>7</v>
      </c>
      <c r="R27" s="13" t="s">
        <v>95</v>
      </c>
      <c r="S27" s="12" t="s">
        <v>139</v>
      </c>
      <c r="T27" s="12" t="n">
        <v>8.5</v>
      </c>
      <c r="U27" s="12" t="n">
        <v>8</v>
      </c>
      <c r="V27" s="12" t="n">
        <v>8.5</v>
      </c>
      <c r="W27" s="17" t="n">
        <f aca="false">ROUND(I27*0.15+J27*0.08+K27*0.08+L27*0.1+M27*0.08+P27*0.1+Q27*0.05+T27*0.15+U27*0.12+V27*0.09,2)</f>
        <v>7.9</v>
      </c>
    </row>
    <row r="28" customFormat="false" ht="15" hidden="false" customHeight="false" outlineLevel="0" collapsed="false">
      <c r="A28" s="5" t="n">
        <v>25</v>
      </c>
      <c r="B28" s="6" t="s">
        <v>25</v>
      </c>
      <c r="C28" s="6" t="s">
        <v>125</v>
      </c>
      <c r="D28" s="6" t="s">
        <v>140</v>
      </c>
      <c r="E28" s="7" t="s">
        <v>141</v>
      </c>
      <c r="F28" s="8" t="s">
        <v>142</v>
      </c>
      <c r="G28" s="6" t="s">
        <v>143</v>
      </c>
      <c r="H28" s="9" t="s">
        <v>31</v>
      </c>
      <c r="I28" s="5" t="n">
        <v>8.8</v>
      </c>
      <c r="J28" s="5" t="n">
        <v>6</v>
      </c>
      <c r="K28" s="5" t="n">
        <v>6</v>
      </c>
      <c r="L28" s="5" t="n">
        <v>8</v>
      </c>
      <c r="M28" s="5" t="n">
        <v>8</v>
      </c>
      <c r="N28" s="5" t="n">
        <v>5</v>
      </c>
      <c r="O28" s="10" t="n">
        <v>600</v>
      </c>
      <c r="P28" s="5" t="n">
        <v>7</v>
      </c>
      <c r="Q28" s="5" t="n">
        <v>7</v>
      </c>
      <c r="R28" s="6" t="s">
        <v>37</v>
      </c>
      <c r="S28" s="5" t="s">
        <v>129</v>
      </c>
      <c r="T28" s="5" t="n">
        <v>9.5</v>
      </c>
      <c r="U28" s="5" t="n">
        <v>8</v>
      </c>
      <c r="V28" s="5" t="n">
        <v>8.5</v>
      </c>
      <c r="W28" s="11" t="n">
        <f aca="false">ROUND(I28*0.15+J28*0.08+K28*0.08+L28*0.1+M28*0.08+P28*0.1+Q28*0.05+T28*0.15+U28*0.12+V28*0.09,2)</f>
        <v>7.92</v>
      </c>
    </row>
    <row r="29" customFormat="false" ht="15" hidden="false" customHeight="false" outlineLevel="0" collapsed="false">
      <c r="A29" s="12" t="n">
        <v>26</v>
      </c>
      <c r="B29" s="13" t="s">
        <v>25</v>
      </c>
      <c r="C29" s="13" t="s">
        <v>125</v>
      </c>
      <c r="D29" s="13" t="s">
        <v>144</v>
      </c>
      <c r="E29" s="14" t="s">
        <v>145</v>
      </c>
      <c r="F29" s="15" t="s">
        <v>146</v>
      </c>
      <c r="G29" s="13" t="s">
        <v>147</v>
      </c>
      <c r="H29" s="9" t="s">
        <v>31</v>
      </c>
      <c r="I29" s="12" t="n">
        <v>8.5</v>
      </c>
      <c r="J29" s="12" t="n">
        <v>7</v>
      </c>
      <c r="K29" s="12" t="n">
        <v>6</v>
      </c>
      <c r="L29" s="12" t="n">
        <v>9</v>
      </c>
      <c r="M29" s="12" t="n">
        <v>8</v>
      </c>
      <c r="N29" s="12" t="n">
        <v>4</v>
      </c>
      <c r="O29" s="16" t="n">
        <v>700</v>
      </c>
      <c r="P29" s="12" t="n">
        <v>8</v>
      </c>
      <c r="Q29" s="12" t="n">
        <v>7</v>
      </c>
      <c r="R29" s="13" t="s">
        <v>77</v>
      </c>
      <c r="S29" s="12" t="s">
        <v>78</v>
      </c>
      <c r="T29" s="12" t="n">
        <v>7.5</v>
      </c>
      <c r="U29" s="12" t="n">
        <v>8.5</v>
      </c>
      <c r="V29" s="12" t="n">
        <v>8.5</v>
      </c>
      <c r="W29" s="17" t="n">
        <f aca="false">ROUND(I29*0.15+J29*0.08+K29*0.08+L29*0.1+M29*0.08+P29*0.1+Q29*0.05+T29*0.15+U29*0.12+V29*0.09,2)</f>
        <v>7.92</v>
      </c>
    </row>
    <row r="30" customFormat="false" ht="15" hidden="false" customHeight="false" outlineLevel="0" collapsed="false">
      <c r="A30" s="5" t="n">
        <v>27</v>
      </c>
      <c r="B30" s="6" t="s">
        <v>25</v>
      </c>
      <c r="C30" s="6" t="s">
        <v>125</v>
      </c>
      <c r="D30" s="6" t="s">
        <v>148</v>
      </c>
      <c r="E30" s="7" t="s">
        <v>149</v>
      </c>
      <c r="F30" s="8" t="s">
        <v>150</v>
      </c>
      <c r="G30" s="6" t="s">
        <v>151</v>
      </c>
      <c r="H30" s="9" t="s">
        <v>31</v>
      </c>
      <c r="I30" s="5" t="n">
        <v>8.5</v>
      </c>
      <c r="J30" s="5" t="n">
        <v>7</v>
      </c>
      <c r="K30" s="5" t="n">
        <v>7</v>
      </c>
      <c r="L30" s="5" t="n">
        <v>8</v>
      </c>
      <c r="M30" s="5" t="n">
        <v>8</v>
      </c>
      <c r="N30" s="5" t="n">
        <v>3</v>
      </c>
      <c r="O30" s="10" t="n">
        <v>500</v>
      </c>
      <c r="P30" s="5" t="n">
        <v>7</v>
      </c>
      <c r="Q30" s="5" t="n">
        <v>8</v>
      </c>
      <c r="R30" s="6" t="s">
        <v>37</v>
      </c>
      <c r="S30" s="5" t="s">
        <v>129</v>
      </c>
      <c r="T30" s="5" t="n">
        <v>8</v>
      </c>
      <c r="U30" s="5" t="n">
        <v>8</v>
      </c>
      <c r="V30" s="5" t="n">
        <v>9</v>
      </c>
      <c r="W30" s="11" t="n">
        <f aca="false">ROUND(I30*0.15+J30*0.08+K30*0.08+L30*0.1+M30*0.08+P30*0.1+Q30*0.05+T30*0.15+U30*0.12+V30*0.09,2)</f>
        <v>7.91</v>
      </c>
    </row>
    <row r="31" customFormat="false" ht="15" hidden="false" customHeight="false" outlineLevel="0" collapsed="false">
      <c r="A31" s="12" t="n">
        <v>28</v>
      </c>
      <c r="B31" s="13" t="s">
        <v>25</v>
      </c>
      <c r="C31" s="13" t="s">
        <v>125</v>
      </c>
      <c r="D31" s="13" t="s">
        <v>152</v>
      </c>
      <c r="E31" s="14" t="s">
        <v>153</v>
      </c>
      <c r="F31" s="15" t="s">
        <v>154</v>
      </c>
      <c r="G31" s="13" t="s">
        <v>52</v>
      </c>
      <c r="H31" s="9" t="s">
        <v>31</v>
      </c>
      <c r="I31" s="12" t="n">
        <v>8.8</v>
      </c>
      <c r="J31" s="12" t="n">
        <v>5</v>
      </c>
      <c r="K31" s="12" t="n">
        <v>4</v>
      </c>
      <c r="L31" s="12" t="n">
        <v>8</v>
      </c>
      <c r="M31" s="12" t="n">
        <v>8</v>
      </c>
      <c r="N31" s="12" t="n">
        <v>6</v>
      </c>
      <c r="O31" s="16" t="n">
        <v>600</v>
      </c>
      <c r="P31" s="12" t="n">
        <v>6</v>
      </c>
      <c r="Q31" s="12" t="n">
        <v>5</v>
      </c>
      <c r="R31" s="13" t="s">
        <v>104</v>
      </c>
      <c r="S31" s="12" t="s">
        <v>155</v>
      </c>
      <c r="T31" s="12" t="n">
        <v>8.5</v>
      </c>
      <c r="U31" s="12" t="n">
        <v>7.5</v>
      </c>
      <c r="V31" s="12" t="n">
        <v>8</v>
      </c>
      <c r="W31" s="17" t="n">
        <f aca="false">ROUND(I31*0.15+J31*0.08+K31*0.08+L31*0.1+M31*0.08+P31*0.1+Q31*0.05+T31*0.15+U31*0.12+V31*0.09,2)</f>
        <v>7.23</v>
      </c>
    </row>
    <row r="32" customFormat="false" ht="15" hidden="false" customHeight="false" outlineLevel="0" collapsed="false">
      <c r="A32" s="5" t="n">
        <v>29</v>
      </c>
      <c r="B32" s="6" t="s">
        <v>25</v>
      </c>
      <c r="C32" s="6" t="s">
        <v>125</v>
      </c>
      <c r="D32" s="6" t="s">
        <v>156</v>
      </c>
      <c r="E32" s="7" t="s">
        <v>157</v>
      </c>
      <c r="F32" s="8" t="s">
        <v>158</v>
      </c>
      <c r="G32" s="6" t="s">
        <v>88</v>
      </c>
      <c r="H32" s="9" t="s">
        <v>31</v>
      </c>
      <c r="I32" s="5" t="n">
        <v>8.3</v>
      </c>
      <c r="J32" s="5" t="n">
        <v>5</v>
      </c>
      <c r="K32" s="5" t="n">
        <v>6</v>
      </c>
      <c r="L32" s="5" t="n">
        <v>7</v>
      </c>
      <c r="M32" s="5" t="n">
        <v>7</v>
      </c>
      <c r="N32" s="5" t="n">
        <v>3</v>
      </c>
      <c r="O32" s="10" t="n">
        <v>500</v>
      </c>
      <c r="P32" s="5" t="n">
        <v>5</v>
      </c>
      <c r="Q32" s="5" t="n">
        <v>7</v>
      </c>
      <c r="R32" s="6" t="s">
        <v>37</v>
      </c>
      <c r="S32" s="5" t="s">
        <v>159</v>
      </c>
      <c r="T32" s="5" t="n">
        <v>9</v>
      </c>
      <c r="U32" s="5" t="n">
        <v>7</v>
      </c>
      <c r="V32" s="5" t="n">
        <v>8.5</v>
      </c>
      <c r="W32" s="11" t="n">
        <f aca="false">ROUND(I32*0.15+J32*0.08+K32*0.08+L32*0.1+M32*0.08+P32*0.1+Q32*0.05+T32*0.15+U32*0.12+V32*0.09,2)</f>
        <v>7.19</v>
      </c>
    </row>
    <row r="33" customFormat="false" ht="15" hidden="false" customHeight="false" outlineLevel="0" collapsed="false">
      <c r="A33" s="12" t="n">
        <v>30</v>
      </c>
      <c r="B33" s="13" t="s">
        <v>25</v>
      </c>
      <c r="C33" s="13" t="s">
        <v>125</v>
      </c>
      <c r="D33" s="13" t="s">
        <v>126</v>
      </c>
      <c r="E33" s="14" t="s">
        <v>160</v>
      </c>
      <c r="F33" s="15" t="s">
        <v>161</v>
      </c>
      <c r="G33" s="13" t="s">
        <v>162</v>
      </c>
      <c r="H33" s="9" t="s">
        <v>31</v>
      </c>
      <c r="I33" s="12" t="n">
        <v>8.3</v>
      </c>
      <c r="J33" s="12" t="n">
        <v>7</v>
      </c>
      <c r="K33" s="12" t="n">
        <v>7</v>
      </c>
      <c r="L33" s="12" t="n">
        <v>9</v>
      </c>
      <c r="M33" s="12" t="n">
        <v>8</v>
      </c>
      <c r="N33" s="12" t="n">
        <v>3</v>
      </c>
      <c r="O33" s="16" t="n">
        <v>900</v>
      </c>
      <c r="P33" s="12" t="n">
        <v>10</v>
      </c>
      <c r="Q33" s="12" t="n">
        <v>9</v>
      </c>
      <c r="R33" s="13" t="s">
        <v>32</v>
      </c>
      <c r="S33" s="12" t="s">
        <v>163</v>
      </c>
      <c r="T33" s="12" t="n">
        <v>7</v>
      </c>
      <c r="U33" s="12" t="n">
        <v>9.5</v>
      </c>
      <c r="V33" s="12" t="n">
        <v>8</v>
      </c>
      <c r="W33" s="17" t="n">
        <f aca="false">ROUND(I33*0.15+J33*0.08+K33*0.08+L33*0.1+M33*0.08+P33*0.1+Q33*0.05+T33*0.15+U33*0.12+V33*0.09,2)</f>
        <v>8.27</v>
      </c>
    </row>
    <row r="34" customFormat="false" ht="15" hidden="false" customHeight="false" outlineLevel="0" collapsed="false">
      <c r="A34" s="5" t="n">
        <v>31</v>
      </c>
      <c r="B34" s="6" t="s">
        <v>25</v>
      </c>
      <c r="C34" s="6" t="s">
        <v>125</v>
      </c>
      <c r="D34" s="6" t="s">
        <v>164</v>
      </c>
      <c r="E34" s="7" t="s">
        <v>165</v>
      </c>
      <c r="F34" s="8" t="s">
        <v>166</v>
      </c>
      <c r="G34" s="6" t="s">
        <v>167</v>
      </c>
      <c r="H34" s="9" t="s">
        <v>31</v>
      </c>
      <c r="I34" s="5" t="n">
        <v>8</v>
      </c>
      <c r="J34" s="5" t="n">
        <v>6</v>
      </c>
      <c r="K34" s="5" t="n">
        <v>5</v>
      </c>
      <c r="L34" s="5" t="n">
        <v>7</v>
      </c>
      <c r="M34" s="5" t="n">
        <v>7</v>
      </c>
      <c r="N34" s="5" t="n">
        <v>4</v>
      </c>
      <c r="O34" s="10" t="n">
        <v>600</v>
      </c>
      <c r="P34" s="5" t="n">
        <v>7</v>
      </c>
      <c r="Q34" s="5" t="n">
        <v>7</v>
      </c>
      <c r="R34" s="6" t="s">
        <v>37</v>
      </c>
      <c r="S34" s="5" t="s">
        <v>159</v>
      </c>
      <c r="T34" s="5" t="n">
        <v>7.5</v>
      </c>
      <c r="U34" s="5" t="n">
        <v>7</v>
      </c>
      <c r="V34" s="5" t="n">
        <v>8</v>
      </c>
      <c r="W34" s="11" t="n">
        <f aca="false">ROUND(I34*0.15+J34*0.08+K34*0.08+L34*0.1+M34*0.08+P34*0.1+Q34*0.05+T34*0.15+U34*0.12+V34*0.09,2)</f>
        <v>7.08</v>
      </c>
    </row>
    <row r="35" customFormat="false" ht="15" hidden="false" customHeight="false" outlineLevel="0" collapsed="false">
      <c r="A35" s="12" t="n">
        <v>32</v>
      </c>
      <c r="B35" s="13" t="s">
        <v>25</v>
      </c>
      <c r="C35" s="13" t="s">
        <v>125</v>
      </c>
      <c r="D35" s="13" t="s">
        <v>168</v>
      </c>
      <c r="E35" s="14" t="s">
        <v>169</v>
      </c>
      <c r="F35" s="15" t="s">
        <v>170</v>
      </c>
      <c r="G35" s="13" t="s">
        <v>171</v>
      </c>
      <c r="H35" s="9" t="s">
        <v>31</v>
      </c>
      <c r="I35" s="12" t="n">
        <v>8</v>
      </c>
      <c r="J35" s="12" t="n">
        <v>7</v>
      </c>
      <c r="K35" s="12" t="n">
        <v>6</v>
      </c>
      <c r="L35" s="12" t="n">
        <v>8</v>
      </c>
      <c r="M35" s="12" t="n">
        <v>6</v>
      </c>
      <c r="N35" s="12" t="n">
        <v>4</v>
      </c>
      <c r="O35" s="16" t="n">
        <v>600</v>
      </c>
      <c r="P35" s="12" t="n">
        <v>6</v>
      </c>
      <c r="Q35" s="12" t="n">
        <v>7</v>
      </c>
      <c r="R35" s="13" t="s">
        <v>53</v>
      </c>
      <c r="S35" s="12" t="s">
        <v>62</v>
      </c>
      <c r="T35" s="12" t="n">
        <v>7</v>
      </c>
      <c r="U35" s="12" t="n">
        <v>8</v>
      </c>
      <c r="V35" s="12" t="n">
        <v>8</v>
      </c>
      <c r="W35" s="17" t="n">
        <f aca="false">ROUND(I35*0.15+J35*0.08+K35*0.08+L35*0.1+M35*0.08+P35*0.1+Q35*0.05+T35*0.15+U35*0.12+V35*0.09,2)</f>
        <v>7.2</v>
      </c>
    </row>
    <row r="36" customFormat="false" ht="15" hidden="false" customHeight="false" outlineLevel="0" collapsed="false">
      <c r="A36" s="5" t="n">
        <v>33</v>
      </c>
      <c r="B36" s="6" t="s">
        <v>172</v>
      </c>
      <c r="C36" s="6" t="s">
        <v>173</v>
      </c>
      <c r="D36" s="6" t="s">
        <v>174</v>
      </c>
      <c r="E36" s="7" t="s">
        <v>175</v>
      </c>
      <c r="F36" s="8" t="s">
        <v>176</v>
      </c>
      <c r="G36" s="6" t="s">
        <v>30</v>
      </c>
      <c r="H36" s="9" t="s">
        <v>177</v>
      </c>
      <c r="I36" s="5" t="n">
        <v>9</v>
      </c>
      <c r="J36" s="5" t="n">
        <v>6</v>
      </c>
      <c r="K36" s="5" t="n">
        <v>5</v>
      </c>
      <c r="L36" s="5" t="n">
        <v>8</v>
      </c>
      <c r="M36" s="5" t="n">
        <v>8</v>
      </c>
      <c r="N36" s="5" t="n">
        <v>3</v>
      </c>
      <c r="O36" s="10" t="n">
        <v>500</v>
      </c>
      <c r="P36" s="5" t="n">
        <v>9</v>
      </c>
      <c r="Q36" s="5" t="n">
        <v>8</v>
      </c>
      <c r="R36" s="6" t="s">
        <v>89</v>
      </c>
      <c r="S36" s="5" t="s">
        <v>178</v>
      </c>
      <c r="T36" s="5" t="n">
        <v>9.5</v>
      </c>
      <c r="U36" s="5" t="n">
        <v>8.5</v>
      </c>
      <c r="V36" s="5" t="n">
        <v>8</v>
      </c>
      <c r="W36" s="11" t="n">
        <f aca="false">ROUND(I36*0.15+J36*0.08+K36*0.08+L36*0.1+M36*0.08+P36*0.1+Q36*0.05+T36*0.15+U36*0.12+V36*0.09,2)</f>
        <v>8.14</v>
      </c>
    </row>
    <row r="37" customFormat="false" ht="15" hidden="false" customHeight="false" outlineLevel="0" collapsed="false">
      <c r="A37" s="12" t="n">
        <v>34</v>
      </c>
      <c r="B37" s="13" t="s">
        <v>172</v>
      </c>
      <c r="C37" s="13" t="s">
        <v>173</v>
      </c>
      <c r="D37" s="13" t="s">
        <v>179</v>
      </c>
      <c r="E37" s="14" t="s">
        <v>180</v>
      </c>
      <c r="F37" s="15" t="s">
        <v>181</v>
      </c>
      <c r="G37" s="13" t="s">
        <v>41</v>
      </c>
      <c r="H37" s="9" t="s">
        <v>177</v>
      </c>
      <c r="I37" s="12" t="n">
        <v>8.8</v>
      </c>
      <c r="J37" s="12" t="n">
        <v>6</v>
      </c>
      <c r="K37" s="12" t="n">
        <v>5</v>
      </c>
      <c r="L37" s="12" t="n">
        <v>9</v>
      </c>
      <c r="M37" s="12" t="n">
        <v>9</v>
      </c>
      <c r="N37" s="12" t="n">
        <v>3</v>
      </c>
      <c r="O37" s="16" t="n">
        <v>400</v>
      </c>
      <c r="P37" s="12" t="n">
        <v>8</v>
      </c>
      <c r="Q37" s="12" t="n">
        <v>7</v>
      </c>
      <c r="R37" s="13" t="s">
        <v>182</v>
      </c>
      <c r="S37" s="12" t="s">
        <v>183</v>
      </c>
      <c r="T37" s="12" t="n">
        <v>8.5</v>
      </c>
      <c r="U37" s="12" t="n">
        <v>8</v>
      </c>
      <c r="V37" s="12" t="n">
        <v>9</v>
      </c>
      <c r="W37" s="17" t="n">
        <f aca="false">ROUND(I37*0.15+J37*0.08+K37*0.08+L37*0.1+M37*0.08+P37*0.1+Q37*0.05+T37*0.15+U37*0.12+V37*0.09,2)</f>
        <v>8.02</v>
      </c>
    </row>
    <row r="38" customFormat="false" ht="15" hidden="false" customHeight="false" outlineLevel="0" collapsed="false">
      <c r="A38" s="5" t="n">
        <v>35</v>
      </c>
      <c r="B38" s="6" t="s">
        <v>172</v>
      </c>
      <c r="C38" s="6" t="s">
        <v>173</v>
      </c>
      <c r="D38" s="6" t="s">
        <v>179</v>
      </c>
      <c r="E38" s="7" t="s">
        <v>184</v>
      </c>
      <c r="F38" s="8" t="s">
        <v>185</v>
      </c>
      <c r="G38" s="6" t="s">
        <v>30</v>
      </c>
      <c r="H38" s="9" t="s">
        <v>177</v>
      </c>
      <c r="I38" s="5" t="n">
        <v>9</v>
      </c>
      <c r="J38" s="5" t="n">
        <v>7</v>
      </c>
      <c r="K38" s="5" t="n">
        <v>7</v>
      </c>
      <c r="L38" s="5" t="n">
        <v>9</v>
      </c>
      <c r="M38" s="5" t="n">
        <v>9</v>
      </c>
      <c r="N38" s="5" t="n">
        <v>5</v>
      </c>
      <c r="O38" s="10" t="n">
        <v>400</v>
      </c>
      <c r="P38" s="5" t="n">
        <v>8</v>
      </c>
      <c r="Q38" s="5" t="n">
        <v>8</v>
      </c>
      <c r="R38" s="6" t="s">
        <v>182</v>
      </c>
      <c r="S38" s="5" t="s">
        <v>183</v>
      </c>
      <c r="T38" s="5" t="n">
        <v>8.5</v>
      </c>
      <c r="U38" s="5" t="n">
        <v>8</v>
      </c>
      <c r="V38" s="5" t="n">
        <v>9.5</v>
      </c>
      <c r="W38" s="11" t="n">
        <f aca="false">ROUND(I38*0.15+J38*0.08+K38*0.08+L38*0.1+M38*0.08+P38*0.1+Q38*0.05+T38*0.15+U38*0.12+V38*0.09,2)</f>
        <v>8.38</v>
      </c>
    </row>
    <row r="39" customFormat="false" ht="15" hidden="false" customHeight="false" outlineLevel="0" collapsed="false">
      <c r="A39" s="12" t="n">
        <v>36</v>
      </c>
      <c r="B39" s="13" t="s">
        <v>172</v>
      </c>
      <c r="C39" s="13" t="s">
        <v>173</v>
      </c>
      <c r="D39" s="13" t="s">
        <v>186</v>
      </c>
      <c r="E39" s="14" t="s">
        <v>186</v>
      </c>
      <c r="F39" s="15" t="s">
        <v>187</v>
      </c>
      <c r="G39" s="13" t="s">
        <v>188</v>
      </c>
      <c r="H39" s="9" t="s">
        <v>177</v>
      </c>
      <c r="I39" s="12" t="n">
        <v>8.8</v>
      </c>
      <c r="J39" s="12" t="n">
        <v>8</v>
      </c>
      <c r="K39" s="12" t="n">
        <v>5</v>
      </c>
      <c r="L39" s="12" t="n">
        <v>9</v>
      </c>
      <c r="M39" s="12" t="n">
        <v>7</v>
      </c>
      <c r="N39" s="12" t="n">
        <v>6</v>
      </c>
      <c r="O39" s="16" t="n">
        <v>700</v>
      </c>
      <c r="P39" s="12" t="n">
        <v>8</v>
      </c>
      <c r="Q39" s="12" t="n">
        <v>7</v>
      </c>
      <c r="R39" s="13" t="s">
        <v>89</v>
      </c>
      <c r="S39" s="12" t="s">
        <v>189</v>
      </c>
      <c r="T39" s="12" t="n">
        <v>7.5</v>
      </c>
      <c r="U39" s="12" t="n">
        <v>8.5</v>
      </c>
      <c r="V39" s="12" t="n">
        <v>7.5</v>
      </c>
      <c r="W39" s="17" t="n">
        <f aca="false">ROUND(I39*0.15+J39*0.08+K39*0.08+L39*0.1+M39*0.08+P39*0.1+Q39*0.05+T39*0.15+U39*0.12+V39*0.09,2)</f>
        <v>7.79</v>
      </c>
    </row>
    <row r="40" customFormat="false" ht="15" hidden="false" customHeight="false" outlineLevel="0" collapsed="false">
      <c r="A40" s="5" t="n">
        <v>37</v>
      </c>
      <c r="B40" s="6" t="s">
        <v>172</v>
      </c>
      <c r="C40" s="6" t="s">
        <v>173</v>
      </c>
      <c r="D40" s="6" t="s">
        <v>190</v>
      </c>
      <c r="E40" s="7" t="s">
        <v>191</v>
      </c>
      <c r="F40" s="8" t="s">
        <v>192</v>
      </c>
      <c r="G40" s="6" t="s">
        <v>193</v>
      </c>
      <c r="H40" s="9" t="s">
        <v>177</v>
      </c>
      <c r="I40" s="5" t="n">
        <v>9</v>
      </c>
      <c r="J40" s="5" t="n">
        <v>6</v>
      </c>
      <c r="K40" s="5" t="n">
        <v>4</v>
      </c>
      <c r="L40" s="5" t="n">
        <v>9</v>
      </c>
      <c r="M40" s="5" t="n">
        <v>8</v>
      </c>
      <c r="N40" s="5" t="n">
        <v>5</v>
      </c>
      <c r="O40" s="10" t="n">
        <v>500</v>
      </c>
      <c r="P40" s="5" t="n">
        <v>7</v>
      </c>
      <c r="Q40" s="5" t="n">
        <v>6</v>
      </c>
      <c r="R40" s="6" t="s">
        <v>89</v>
      </c>
      <c r="S40" s="5" t="s">
        <v>189</v>
      </c>
      <c r="T40" s="5" t="n">
        <v>8.5</v>
      </c>
      <c r="U40" s="5" t="n">
        <v>7.5</v>
      </c>
      <c r="V40" s="5" t="n">
        <v>8.5</v>
      </c>
      <c r="W40" s="11" t="n">
        <f aca="false">ROUND(I40*0.15+J40*0.08+K40*0.08+L40*0.1+M40*0.08+P40*0.1+Q40*0.05+T40*0.15+U40*0.12+V40*0.09,2)</f>
        <v>7.63</v>
      </c>
    </row>
    <row r="41" customFormat="false" ht="15" hidden="false" customHeight="false" outlineLevel="0" collapsed="false">
      <c r="A41" s="12" t="n">
        <v>38</v>
      </c>
      <c r="B41" s="13" t="s">
        <v>172</v>
      </c>
      <c r="C41" s="13" t="s">
        <v>173</v>
      </c>
      <c r="D41" s="13" t="s">
        <v>194</v>
      </c>
      <c r="E41" s="14" t="s">
        <v>195</v>
      </c>
      <c r="F41" s="15" t="s">
        <v>196</v>
      </c>
      <c r="G41" s="13" t="s">
        <v>197</v>
      </c>
      <c r="H41" s="9" t="s">
        <v>177</v>
      </c>
      <c r="I41" s="12" t="n">
        <v>9</v>
      </c>
      <c r="J41" s="12" t="n">
        <v>6</v>
      </c>
      <c r="K41" s="12" t="n">
        <v>5</v>
      </c>
      <c r="L41" s="12" t="n">
        <v>8</v>
      </c>
      <c r="M41" s="12" t="n">
        <v>8</v>
      </c>
      <c r="N41" s="12" t="n">
        <v>3</v>
      </c>
      <c r="O41" s="16" t="n">
        <v>350</v>
      </c>
      <c r="P41" s="12" t="n">
        <v>6</v>
      </c>
      <c r="Q41" s="12" t="n">
        <v>7</v>
      </c>
      <c r="R41" s="13" t="s">
        <v>182</v>
      </c>
      <c r="S41" s="12" t="s">
        <v>183</v>
      </c>
      <c r="T41" s="12" t="n">
        <v>9</v>
      </c>
      <c r="U41" s="12" t="n">
        <v>7.5</v>
      </c>
      <c r="V41" s="12" t="n">
        <v>9</v>
      </c>
      <c r="W41" s="17" t="n">
        <f aca="false">ROUND(I41*0.15+J41*0.08+K41*0.08+L41*0.1+M41*0.08+P41*0.1+Q41*0.05+T41*0.15+U41*0.12+V41*0.09,2)</f>
        <v>7.68</v>
      </c>
    </row>
    <row r="42" customFormat="false" ht="15" hidden="false" customHeight="false" outlineLevel="0" collapsed="false">
      <c r="A42" s="5" t="n">
        <v>39</v>
      </c>
      <c r="B42" s="6" t="s">
        <v>172</v>
      </c>
      <c r="C42" s="6" t="s">
        <v>173</v>
      </c>
      <c r="D42" s="6" t="s">
        <v>198</v>
      </c>
      <c r="E42" s="7" t="s">
        <v>199</v>
      </c>
      <c r="F42" s="8" t="s">
        <v>200</v>
      </c>
      <c r="G42" s="6" t="s">
        <v>143</v>
      </c>
      <c r="H42" s="9" t="s">
        <v>177</v>
      </c>
      <c r="I42" s="5" t="n">
        <v>8.8</v>
      </c>
      <c r="J42" s="5" t="n">
        <v>5</v>
      </c>
      <c r="K42" s="5" t="n">
        <v>5</v>
      </c>
      <c r="L42" s="5" t="n">
        <v>8</v>
      </c>
      <c r="M42" s="5" t="n">
        <v>8</v>
      </c>
      <c r="N42" s="5" t="n">
        <v>4</v>
      </c>
      <c r="O42" s="10" t="n">
        <v>350</v>
      </c>
      <c r="P42" s="5" t="n">
        <v>7</v>
      </c>
      <c r="Q42" s="5" t="n">
        <v>8</v>
      </c>
      <c r="R42" s="6" t="s">
        <v>182</v>
      </c>
      <c r="S42" s="5" t="s">
        <v>183</v>
      </c>
      <c r="T42" s="5" t="n">
        <v>9.5</v>
      </c>
      <c r="U42" s="5" t="n">
        <v>7</v>
      </c>
      <c r="V42" s="5" t="n">
        <v>9</v>
      </c>
      <c r="W42" s="11" t="n">
        <f aca="false">ROUND(I42*0.15+J42*0.08+K42*0.08+L42*0.1+M42*0.08+P42*0.1+Q42*0.05+T42*0.15+U42*0.12+V42*0.09,2)</f>
        <v>7.74</v>
      </c>
    </row>
    <row r="43" customFormat="false" ht="15" hidden="false" customHeight="false" outlineLevel="0" collapsed="false">
      <c r="A43" s="12" t="n">
        <v>40</v>
      </c>
      <c r="B43" s="13" t="s">
        <v>172</v>
      </c>
      <c r="C43" s="13" t="s">
        <v>173</v>
      </c>
      <c r="D43" s="13" t="s">
        <v>201</v>
      </c>
      <c r="E43" s="14" t="s">
        <v>201</v>
      </c>
      <c r="F43" s="15" t="s">
        <v>202</v>
      </c>
      <c r="G43" s="13" t="s">
        <v>188</v>
      </c>
      <c r="H43" s="9" t="s">
        <v>177</v>
      </c>
      <c r="I43" s="12" t="n">
        <v>8.5</v>
      </c>
      <c r="J43" s="12" t="n">
        <v>7</v>
      </c>
      <c r="K43" s="12" t="n">
        <v>5</v>
      </c>
      <c r="L43" s="12" t="n">
        <v>9</v>
      </c>
      <c r="M43" s="12" t="n">
        <v>7</v>
      </c>
      <c r="N43" s="12" t="n">
        <v>5</v>
      </c>
      <c r="O43" s="16" t="n">
        <v>700</v>
      </c>
      <c r="P43" s="12" t="n">
        <v>6</v>
      </c>
      <c r="Q43" s="12" t="n">
        <v>6</v>
      </c>
      <c r="R43" s="13" t="s">
        <v>203</v>
      </c>
      <c r="S43" s="12" t="s">
        <v>204</v>
      </c>
      <c r="T43" s="12" t="n">
        <v>7.5</v>
      </c>
      <c r="U43" s="12" t="n">
        <v>8</v>
      </c>
      <c r="V43" s="12" t="n">
        <v>7.5</v>
      </c>
      <c r="W43" s="17" t="n">
        <f aca="false">ROUND(I43*0.15+J43*0.08+K43*0.08+L43*0.1+M43*0.08+P43*0.1+Q43*0.05+T43*0.15+U43*0.12+V43*0.09,2)</f>
        <v>7.36</v>
      </c>
    </row>
    <row r="44" customFormat="false" ht="15" hidden="false" customHeight="false" outlineLevel="0" collapsed="false">
      <c r="A44" s="5" t="n">
        <v>41</v>
      </c>
      <c r="B44" s="6" t="s">
        <v>172</v>
      </c>
      <c r="C44" s="6" t="s">
        <v>173</v>
      </c>
      <c r="D44" s="6" t="s">
        <v>205</v>
      </c>
      <c r="E44" s="7" t="s">
        <v>205</v>
      </c>
      <c r="F44" s="8" t="s">
        <v>206</v>
      </c>
      <c r="G44" s="6" t="s">
        <v>207</v>
      </c>
      <c r="H44" s="9" t="s">
        <v>177</v>
      </c>
      <c r="I44" s="5" t="n">
        <v>8</v>
      </c>
      <c r="J44" s="5" t="n">
        <v>7</v>
      </c>
      <c r="K44" s="5" t="n">
        <v>5</v>
      </c>
      <c r="L44" s="5" t="n">
        <v>8</v>
      </c>
      <c r="M44" s="5" t="n">
        <v>7</v>
      </c>
      <c r="N44" s="5" t="n">
        <v>4</v>
      </c>
      <c r="O44" s="10" t="n">
        <v>500</v>
      </c>
      <c r="P44" s="5" t="n">
        <v>8</v>
      </c>
      <c r="Q44" s="5" t="n">
        <v>7</v>
      </c>
      <c r="R44" s="6" t="s">
        <v>89</v>
      </c>
      <c r="S44" s="5" t="s">
        <v>178</v>
      </c>
      <c r="T44" s="5" t="n">
        <v>6.5</v>
      </c>
      <c r="U44" s="5" t="n">
        <v>8</v>
      </c>
      <c r="V44" s="5" t="n">
        <v>7.5</v>
      </c>
      <c r="W44" s="11" t="n">
        <f aca="false">ROUND(I44*0.15+J44*0.08+K44*0.08+L44*0.1+M44*0.08+P44*0.1+Q44*0.05+T44*0.15+U44*0.12+V44*0.09,2)</f>
        <v>7.28</v>
      </c>
    </row>
    <row r="45" customFormat="false" ht="15" hidden="false" customHeight="false" outlineLevel="0" collapsed="false">
      <c r="A45" s="12" t="n">
        <v>42</v>
      </c>
      <c r="B45" s="13" t="s">
        <v>172</v>
      </c>
      <c r="C45" s="13" t="s">
        <v>173</v>
      </c>
      <c r="D45" s="13" t="s">
        <v>208</v>
      </c>
      <c r="E45" s="14" t="s">
        <v>208</v>
      </c>
      <c r="F45" s="15" t="s">
        <v>209</v>
      </c>
      <c r="G45" s="13" t="s">
        <v>210</v>
      </c>
      <c r="H45" s="9" t="s">
        <v>177</v>
      </c>
      <c r="I45" s="12" t="n">
        <v>8.3</v>
      </c>
      <c r="J45" s="12" t="n">
        <v>7</v>
      </c>
      <c r="K45" s="12" t="n">
        <v>7</v>
      </c>
      <c r="L45" s="12" t="n">
        <v>9</v>
      </c>
      <c r="M45" s="12" t="n">
        <v>7</v>
      </c>
      <c r="N45" s="12" t="n">
        <v>4</v>
      </c>
      <c r="O45" s="16" t="n">
        <v>500</v>
      </c>
      <c r="P45" s="12" t="n">
        <v>7</v>
      </c>
      <c r="Q45" s="12" t="n">
        <v>7</v>
      </c>
      <c r="R45" s="13" t="s">
        <v>89</v>
      </c>
      <c r="S45" s="12" t="s">
        <v>178</v>
      </c>
      <c r="T45" s="12" t="n">
        <v>7</v>
      </c>
      <c r="U45" s="12" t="n">
        <v>8</v>
      </c>
      <c r="V45" s="12" t="n">
        <v>8</v>
      </c>
      <c r="W45" s="17" t="n">
        <f aca="false">ROUND(I45*0.15+J45*0.08+K45*0.08+L45*0.1+M45*0.08+P45*0.1+Q45*0.05+T45*0.15+U45*0.12+V45*0.09,2)</f>
        <v>7.61</v>
      </c>
    </row>
    <row r="46" customFormat="false" ht="15" hidden="false" customHeight="false" outlineLevel="0" collapsed="false">
      <c r="A46" s="5" t="n">
        <v>43</v>
      </c>
      <c r="B46" s="6" t="s">
        <v>172</v>
      </c>
      <c r="C46" s="6" t="s">
        <v>173</v>
      </c>
      <c r="D46" s="6" t="s">
        <v>211</v>
      </c>
      <c r="E46" s="7" t="s">
        <v>212</v>
      </c>
      <c r="F46" s="8" t="s">
        <v>213</v>
      </c>
      <c r="G46" s="6" t="s">
        <v>143</v>
      </c>
      <c r="H46" s="9" t="s">
        <v>177</v>
      </c>
      <c r="I46" s="5" t="n">
        <v>8.5</v>
      </c>
      <c r="J46" s="5" t="n">
        <v>5</v>
      </c>
      <c r="K46" s="5" t="n">
        <v>5</v>
      </c>
      <c r="L46" s="5" t="n">
        <v>8</v>
      </c>
      <c r="M46" s="5" t="n">
        <v>8</v>
      </c>
      <c r="N46" s="5" t="n">
        <v>4</v>
      </c>
      <c r="O46" s="10" t="n">
        <v>300</v>
      </c>
      <c r="P46" s="5" t="n">
        <v>5</v>
      </c>
      <c r="Q46" s="5" t="n">
        <v>7</v>
      </c>
      <c r="R46" s="6" t="s">
        <v>182</v>
      </c>
      <c r="S46" s="5" t="s">
        <v>183</v>
      </c>
      <c r="T46" s="5" t="n">
        <v>9.5</v>
      </c>
      <c r="U46" s="5" t="n">
        <v>7</v>
      </c>
      <c r="V46" s="5" t="n">
        <v>9.5</v>
      </c>
      <c r="W46" s="11" t="n">
        <f aca="false">ROUND(I46*0.15+J46*0.08+K46*0.08+L46*0.1+M46*0.08+P46*0.1+Q46*0.05+T46*0.15+U46*0.12+V46*0.09,2)</f>
        <v>7.49</v>
      </c>
    </row>
    <row r="47" customFormat="false" ht="15" hidden="false" customHeight="false" outlineLevel="0" collapsed="false">
      <c r="A47" s="12" t="n">
        <v>44</v>
      </c>
      <c r="B47" s="13" t="s">
        <v>172</v>
      </c>
      <c r="C47" s="13" t="s">
        <v>173</v>
      </c>
      <c r="D47" s="13" t="s">
        <v>214</v>
      </c>
      <c r="E47" s="14" t="s">
        <v>214</v>
      </c>
      <c r="F47" s="15" t="s">
        <v>215</v>
      </c>
      <c r="G47" s="13" t="s">
        <v>216</v>
      </c>
      <c r="H47" s="9" t="s">
        <v>177</v>
      </c>
      <c r="I47" s="12" t="n">
        <v>8.5</v>
      </c>
      <c r="J47" s="12" t="n">
        <v>5</v>
      </c>
      <c r="K47" s="12" t="n">
        <v>4</v>
      </c>
      <c r="L47" s="12" t="n">
        <v>9</v>
      </c>
      <c r="M47" s="12" t="n">
        <v>9</v>
      </c>
      <c r="N47" s="12" t="n">
        <v>4</v>
      </c>
      <c r="O47" s="16" t="n">
        <v>300</v>
      </c>
      <c r="P47" s="12" t="n">
        <v>5</v>
      </c>
      <c r="Q47" s="12" t="n">
        <v>6</v>
      </c>
      <c r="R47" s="13" t="s">
        <v>182</v>
      </c>
      <c r="S47" s="12" t="s">
        <v>183</v>
      </c>
      <c r="T47" s="12" t="n">
        <v>7.5</v>
      </c>
      <c r="U47" s="12" t="n">
        <v>6.5</v>
      </c>
      <c r="V47" s="12" t="n">
        <v>9</v>
      </c>
      <c r="W47" s="17" t="n">
        <f aca="false">ROUND(I47*0.15+J47*0.08+K47*0.08+L47*0.1+M47*0.08+P47*0.1+Q47*0.05+T47*0.15+U47*0.12+V47*0.09,2)</f>
        <v>7.13</v>
      </c>
    </row>
    <row r="48" customFormat="false" ht="15" hidden="false" customHeight="false" outlineLevel="0" collapsed="false">
      <c r="A48" s="5" t="n">
        <v>45</v>
      </c>
      <c r="B48" s="6" t="s">
        <v>172</v>
      </c>
      <c r="C48" s="6" t="s">
        <v>217</v>
      </c>
      <c r="D48" s="6" t="s">
        <v>217</v>
      </c>
      <c r="E48" s="7" t="s">
        <v>218</v>
      </c>
      <c r="F48" s="8" t="s">
        <v>219</v>
      </c>
      <c r="G48" s="6" t="s">
        <v>220</v>
      </c>
      <c r="H48" s="9" t="s">
        <v>177</v>
      </c>
      <c r="I48" s="5" t="n">
        <v>9.3</v>
      </c>
      <c r="J48" s="5" t="n">
        <v>9</v>
      </c>
      <c r="K48" s="5" t="n">
        <v>7</v>
      </c>
      <c r="L48" s="5" t="n">
        <v>9</v>
      </c>
      <c r="M48" s="5" t="n">
        <v>8</v>
      </c>
      <c r="N48" s="5" t="n">
        <v>4</v>
      </c>
      <c r="O48" s="10" t="n">
        <v>1000</v>
      </c>
      <c r="P48" s="5" t="n">
        <v>10</v>
      </c>
      <c r="Q48" s="5" t="n">
        <v>9</v>
      </c>
      <c r="R48" s="6" t="s">
        <v>32</v>
      </c>
      <c r="S48" s="6" t="s">
        <v>221</v>
      </c>
      <c r="T48" s="5" t="n">
        <v>8.5</v>
      </c>
      <c r="U48" s="5" t="n">
        <v>10</v>
      </c>
      <c r="V48" s="5" t="n">
        <v>7.5</v>
      </c>
      <c r="W48" s="11" t="n">
        <f aca="false">ROUND(I48*0.15+J48*0.08+K48*0.08+L48*0.1+M48*0.08+P48*0.1+Q48*0.05+T48*0.15+U48*0.12+V48*0.09,2)</f>
        <v>8.82</v>
      </c>
    </row>
    <row r="49" customFormat="false" ht="15" hidden="false" customHeight="false" outlineLevel="0" collapsed="false">
      <c r="A49" s="12" t="n">
        <v>46</v>
      </c>
      <c r="B49" s="13" t="s">
        <v>172</v>
      </c>
      <c r="C49" s="13" t="s">
        <v>217</v>
      </c>
      <c r="D49" s="13" t="s">
        <v>217</v>
      </c>
      <c r="E49" s="14" t="s">
        <v>222</v>
      </c>
      <c r="F49" s="15" t="s">
        <v>223</v>
      </c>
      <c r="G49" s="13" t="s">
        <v>224</v>
      </c>
      <c r="H49" s="9" t="s">
        <v>177</v>
      </c>
      <c r="I49" s="12" t="n">
        <v>9</v>
      </c>
      <c r="J49" s="12" t="n">
        <v>10</v>
      </c>
      <c r="K49" s="12" t="n">
        <v>5</v>
      </c>
      <c r="L49" s="12" t="n">
        <v>8</v>
      </c>
      <c r="M49" s="12" t="n">
        <v>6</v>
      </c>
      <c r="N49" s="12" t="n">
        <v>5</v>
      </c>
      <c r="O49" s="16" t="n">
        <v>1200</v>
      </c>
      <c r="P49" s="12" t="n">
        <v>10</v>
      </c>
      <c r="Q49" s="12" t="n">
        <v>9</v>
      </c>
      <c r="R49" s="13" t="s">
        <v>32</v>
      </c>
      <c r="S49" s="13" t="s">
        <v>221</v>
      </c>
      <c r="T49" s="12" t="n">
        <v>7.5</v>
      </c>
      <c r="U49" s="12" t="n">
        <v>10</v>
      </c>
      <c r="V49" s="12" t="n">
        <v>6.5</v>
      </c>
      <c r="W49" s="17" t="n">
        <f aca="false">ROUND(I49*0.15+J49*0.08+K49*0.08+L49*0.1+M49*0.08+P49*0.1+Q49*0.05+T49*0.15+U49*0.12+V49*0.09,2)</f>
        <v>8.19</v>
      </c>
    </row>
    <row r="50" customFormat="false" ht="15" hidden="false" customHeight="false" outlineLevel="0" collapsed="false">
      <c r="A50" s="5" t="n">
        <v>47</v>
      </c>
      <c r="B50" s="6" t="s">
        <v>172</v>
      </c>
      <c r="C50" s="6" t="s">
        <v>217</v>
      </c>
      <c r="D50" s="6" t="s">
        <v>217</v>
      </c>
      <c r="E50" s="7" t="s">
        <v>225</v>
      </c>
      <c r="F50" s="8" t="s">
        <v>226</v>
      </c>
      <c r="G50" s="6" t="s">
        <v>162</v>
      </c>
      <c r="H50" s="9" t="s">
        <v>177</v>
      </c>
      <c r="I50" s="5" t="n">
        <v>9</v>
      </c>
      <c r="J50" s="5" t="n">
        <v>7</v>
      </c>
      <c r="K50" s="5" t="n">
        <v>7</v>
      </c>
      <c r="L50" s="5" t="n">
        <v>9</v>
      </c>
      <c r="M50" s="5" t="n">
        <v>9</v>
      </c>
      <c r="N50" s="5" t="n">
        <v>3</v>
      </c>
      <c r="O50" s="10" t="n">
        <v>1100</v>
      </c>
      <c r="P50" s="5" t="n">
        <v>10</v>
      </c>
      <c r="Q50" s="5" t="n">
        <v>9</v>
      </c>
      <c r="R50" s="6" t="s">
        <v>32</v>
      </c>
      <c r="S50" s="6" t="s">
        <v>221</v>
      </c>
      <c r="T50" s="5" t="n">
        <v>8</v>
      </c>
      <c r="U50" s="5" t="n">
        <v>10</v>
      </c>
      <c r="V50" s="5" t="n">
        <v>7</v>
      </c>
      <c r="W50" s="11" t="n">
        <f aca="false">ROUND(I50*0.15+J50*0.08+K50*0.08+L50*0.1+M50*0.08+P50*0.1+Q50*0.05+T50*0.15+U50*0.12+V50*0.09,2)</f>
        <v>8.57</v>
      </c>
    </row>
    <row r="51" customFormat="false" ht="15" hidden="false" customHeight="false" outlineLevel="0" collapsed="false">
      <c r="A51" s="12" t="n">
        <v>48</v>
      </c>
      <c r="B51" s="13" t="s">
        <v>172</v>
      </c>
      <c r="C51" s="13" t="s">
        <v>217</v>
      </c>
      <c r="D51" s="13" t="s">
        <v>217</v>
      </c>
      <c r="E51" s="14" t="s">
        <v>227</v>
      </c>
      <c r="F51" s="15" t="s">
        <v>228</v>
      </c>
      <c r="G51" s="13" t="s">
        <v>229</v>
      </c>
      <c r="H51" s="9" t="s">
        <v>177</v>
      </c>
      <c r="I51" s="12" t="n">
        <v>9</v>
      </c>
      <c r="J51" s="12" t="n">
        <v>9</v>
      </c>
      <c r="K51" s="12" t="n">
        <v>5</v>
      </c>
      <c r="L51" s="12" t="n">
        <v>8</v>
      </c>
      <c r="M51" s="12" t="n">
        <v>6</v>
      </c>
      <c r="N51" s="12" t="n">
        <v>3</v>
      </c>
      <c r="O51" s="16" t="n">
        <v>1000</v>
      </c>
      <c r="P51" s="12" t="n">
        <v>9</v>
      </c>
      <c r="Q51" s="12" t="n">
        <v>9</v>
      </c>
      <c r="R51" s="13" t="s">
        <v>32</v>
      </c>
      <c r="S51" s="13" t="s">
        <v>221</v>
      </c>
      <c r="T51" s="12" t="n">
        <v>8</v>
      </c>
      <c r="U51" s="12" t="n">
        <v>9.5</v>
      </c>
      <c r="V51" s="12" t="n">
        <v>7.5</v>
      </c>
      <c r="W51" s="17" t="n">
        <f aca="false">ROUND(I51*0.15+J51*0.08+K51*0.08+L51*0.1+M51*0.08+P51*0.1+Q51*0.05+T51*0.15+U51*0.12+V51*0.09,2)</f>
        <v>8.12</v>
      </c>
    </row>
    <row r="52" customFormat="false" ht="15" hidden="false" customHeight="false" outlineLevel="0" collapsed="false">
      <c r="A52" s="5" t="n">
        <v>49</v>
      </c>
      <c r="B52" s="6" t="s">
        <v>172</v>
      </c>
      <c r="C52" s="6" t="s">
        <v>217</v>
      </c>
      <c r="D52" s="6" t="s">
        <v>217</v>
      </c>
      <c r="E52" s="7" t="s">
        <v>230</v>
      </c>
      <c r="F52" s="8" t="s">
        <v>231</v>
      </c>
      <c r="G52" s="6" t="s">
        <v>232</v>
      </c>
      <c r="H52" s="9" t="s">
        <v>177</v>
      </c>
      <c r="I52" s="5" t="n">
        <v>8.5</v>
      </c>
      <c r="J52" s="5" t="n">
        <v>7</v>
      </c>
      <c r="K52" s="5" t="n">
        <v>7</v>
      </c>
      <c r="L52" s="5" t="n">
        <v>8</v>
      </c>
      <c r="M52" s="5" t="n">
        <v>9</v>
      </c>
      <c r="N52" s="5" t="n">
        <v>4</v>
      </c>
      <c r="O52" s="10" t="n">
        <v>800</v>
      </c>
      <c r="P52" s="5" t="n">
        <v>10</v>
      </c>
      <c r="Q52" s="5" t="n">
        <v>9</v>
      </c>
      <c r="R52" s="6" t="s">
        <v>32</v>
      </c>
      <c r="S52" s="6" t="s">
        <v>221</v>
      </c>
      <c r="T52" s="5" t="n">
        <v>8</v>
      </c>
      <c r="U52" s="5" t="n">
        <v>9.5</v>
      </c>
      <c r="V52" s="5" t="n">
        <v>8.5</v>
      </c>
      <c r="W52" s="11" t="n">
        <f aca="false">ROUND(I52*0.15+J52*0.08+K52*0.08+L52*0.1+M52*0.08+P52*0.1+Q52*0.05+T52*0.15+U52*0.12+V52*0.09,2)</f>
        <v>8.47</v>
      </c>
    </row>
    <row r="53" customFormat="false" ht="15" hidden="false" customHeight="false" outlineLevel="0" collapsed="false">
      <c r="A53" s="12" t="n">
        <v>50</v>
      </c>
      <c r="B53" s="13" t="s">
        <v>172</v>
      </c>
      <c r="C53" s="13" t="s">
        <v>233</v>
      </c>
      <c r="D53" s="13" t="s">
        <v>234</v>
      </c>
      <c r="E53" s="14" t="s">
        <v>235</v>
      </c>
      <c r="F53" s="15" t="s">
        <v>236</v>
      </c>
      <c r="G53" s="13" t="s">
        <v>162</v>
      </c>
      <c r="H53" s="9" t="s">
        <v>177</v>
      </c>
      <c r="I53" s="12" t="n">
        <v>8.8</v>
      </c>
      <c r="J53" s="12" t="n">
        <v>7</v>
      </c>
      <c r="K53" s="12" t="n">
        <v>5</v>
      </c>
      <c r="L53" s="12" t="n">
        <v>8</v>
      </c>
      <c r="M53" s="12" t="n">
        <v>8</v>
      </c>
      <c r="N53" s="12" t="n">
        <v>4</v>
      </c>
      <c r="O53" s="16" t="n">
        <v>500</v>
      </c>
      <c r="P53" s="12" t="n">
        <v>9</v>
      </c>
      <c r="Q53" s="12" t="n">
        <v>8</v>
      </c>
      <c r="R53" s="13" t="s">
        <v>32</v>
      </c>
      <c r="S53" s="12" t="s">
        <v>237</v>
      </c>
      <c r="T53" s="12" t="n">
        <v>8</v>
      </c>
      <c r="U53" s="12" t="n">
        <v>9</v>
      </c>
      <c r="V53" s="12" t="n">
        <v>8.5</v>
      </c>
      <c r="W53" s="17" t="n">
        <f aca="false">ROUND(I53*0.15+J53*0.08+K53*0.08+L53*0.1+M53*0.08+P53*0.1+Q53*0.05+T53*0.15+U53*0.12+V53*0.09,2)</f>
        <v>8.07</v>
      </c>
    </row>
    <row r="54" customFormat="false" ht="15" hidden="false" customHeight="false" outlineLevel="0" collapsed="false">
      <c r="A54" s="5" t="n">
        <v>51</v>
      </c>
      <c r="B54" s="6" t="s">
        <v>172</v>
      </c>
      <c r="C54" s="6" t="s">
        <v>233</v>
      </c>
      <c r="D54" s="6" t="s">
        <v>238</v>
      </c>
      <c r="E54" s="7" t="s">
        <v>239</v>
      </c>
      <c r="F54" s="8" t="s">
        <v>240</v>
      </c>
      <c r="G54" s="6" t="s">
        <v>30</v>
      </c>
      <c r="H54" s="9" t="s">
        <v>177</v>
      </c>
      <c r="I54" s="5" t="n">
        <v>9</v>
      </c>
      <c r="J54" s="5" t="n">
        <v>7</v>
      </c>
      <c r="K54" s="5" t="n">
        <v>6</v>
      </c>
      <c r="L54" s="5" t="n">
        <v>9</v>
      </c>
      <c r="M54" s="5" t="n">
        <v>9</v>
      </c>
      <c r="N54" s="5" t="n">
        <v>4</v>
      </c>
      <c r="O54" s="10" t="n">
        <v>400</v>
      </c>
      <c r="P54" s="5" t="n">
        <v>7</v>
      </c>
      <c r="Q54" s="5" t="n">
        <v>8</v>
      </c>
      <c r="R54" s="6" t="s">
        <v>241</v>
      </c>
      <c r="S54" s="5" t="s">
        <v>242</v>
      </c>
      <c r="T54" s="5" t="n">
        <v>9</v>
      </c>
      <c r="U54" s="5" t="n">
        <v>8</v>
      </c>
      <c r="V54" s="5" t="n">
        <v>9</v>
      </c>
      <c r="W54" s="11" t="n">
        <f aca="false">ROUND(I54*0.15+J54*0.08+K54*0.08+L54*0.1+M54*0.08+P54*0.1+Q54*0.05+T54*0.15+U54*0.12+V54*0.09,2)</f>
        <v>8.23</v>
      </c>
    </row>
    <row r="55" customFormat="false" ht="15" hidden="false" customHeight="false" outlineLevel="0" collapsed="false">
      <c r="A55" s="12" t="n">
        <v>52</v>
      </c>
      <c r="B55" s="13" t="s">
        <v>172</v>
      </c>
      <c r="C55" s="13" t="s">
        <v>233</v>
      </c>
      <c r="D55" s="13" t="s">
        <v>243</v>
      </c>
      <c r="E55" s="14" t="s">
        <v>244</v>
      </c>
      <c r="F55" s="15" t="s">
        <v>245</v>
      </c>
      <c r="G55" s="13" t="s">
        <v>188</v>
      </c>
      <c r="H55" s="9" t="s">
        <v>177</v>
      </c>
      <c r="I55" s="12" t="n">
        <v>8.5</v>
      </c>
      <c r="J55" s="12" t="n">
        <v>7</v>
      </c>
      <c r="K55" s="12" t="n">
        <v>5</v>
      </c>
      <c r="L55" s="12" t="n">
        <v>9</v>
      </c>
      <c r="M55" s="12" t="n">
        <v>7</v>
      </c>
      <c r="N55" s="12" t="n">
        <v>5</v>
      </c>
      <c r="O55" s="16" t="n">
        <v>500</v>
      </c>
      <c r="P55" s="12" t="n">
        <v>7</v>
      </c>
      <c r="Q55" s="12" t="n">
        <v>7</v>
      </c>
      <c r="R55" s="13" t="s">
        <v>89</v>
      </c>
      <c r="S55" s="12" t="s">
        <v>242</v>
      </c>
      <c r="T55" s="12" t="n">
        <v>7.5</v>
      </c>
      <c r="U55" s="12" t="n">
        <v>8</v>
      </c>
      <c r="V55" s="12" t="n">
        <v>8</v>
      </c>
      <c r="W55" s="17" t="n">
        <f aca="false">ROUND(I55*0.15+J55*0.08+K55*0.08+L55*0.1+M55*0.08+P55*0.1+Q55*0.05+T55*0.15+U55*0.12+V55*0.09,2)</f>
        <v>7.55</v>
      </c>
    </row>
    <row r="56" customFormat="false" ht="15" hidden="false" customHeight="false" outlineLevel="0" collapsed="false">
      <c r="A56" s="5" t="n">
        <v>53</v>
      </c>
      <c r="B56" s="6" t="s">
        <v>172</v>
      </c>
      <c r="C56" s="6" t="s">
        <v>233</v>
      </c>
      <c r="D56" s="6" t="s">
        <v>246</v>
      </c>
      <c r="E56" s="7" t="s">
        <v>247</v>
      </c>
      <c r="F56" s="8" t="s">
        <v>248</v>
      </c>
      <c r="G56" s="6" t="s">
        <v>249</v>
      </c>
      <c r="H56" s="9" t="s">
        <v>177</v>
      </c>
      <c r="I56" s="5" t="n">
        <v>9</v>
      </c>
      <c r="J56" s="5" t="n">
        <v>6</v>
      </c>
      <c r="K56" s="5" t="n">
        <v>3</v>
      </c>
      <c r="L56" s="5" t="n">
        <v>8</v>
      </c>
      <c r="M56" s="5" t="n">
        <v>8</v>
      </c>
      <c r="N56" s="5" t="n">
        <v>6</v>
      </c>
      <c r="O56" s="10" t="n">
        <v>500</v>
      </c>
      <c r="P56" s="5" t="n">
        <v>6</v>
      </c>
      <c r="Q56" s="5" t="n">
        <v>6</v>
      </c>
      <c r="R56" s="6" t="s">
        <v>109</v>
      </c>
      <c r="S56" s="5" t="s">
        <v>250</v>
      </c>
      <c r="T56" s="5" t="n">
        <v>9</v>
      </c>
      <c r="U56" s="5" t="n">
        <v>7</v>
      </c>
      <c r="V56" s="5" t="n">
        <v>8.5</v>
      </c>
      <c r="W56" s="11" t="n">
        <f aca="false">ROUND(I56*0.15+J56*0.08+K56*0.08+L56*0.1+M56*0.08+P56*0.1+Q56*0.05+T56*0.15+U56*0.12+V56*0.09,2)</f>
        <v>7.37</v>
      </c>
    </row>
    <row r="57" customFormat="false" ht="15" hidden="false" customHeight="false" outlineLevel="0" collapsed="false">
      <c r="A57" s="12" t="n">
        <v>54</v>
      </c>
      <c r="B57" s="13" t="s">
        <v>172</v>
      </c>
      <c r="C57" s="13" t="s">
        <v>233</v>
      </c>
      <c r="D57" s="13" t="s">
        <v>251</v>
      </c>
      <c r="E57" s="14" t="s">
        <v>252</v>
      </c>
      <c r="F57" s="15" t="s">
        <v>253</v>
      </c>
      <c r="G57" s="13" t="s">
        <v>30</v>
      </c>
      <c r="H57" s="9" t="s">
        <v>177</v>
      </c>
      <c r="I57" s="12" t="n">
        <v>8.5</v>
      </c>
      <c r="J57" s="12" t="n">
        <v>7</v>
      </c>
      <c r="K57" s="12" t="n">
        <v>7</v>
      </c>
      <c r="L57" s="12" t="n">
        <v>8</v>
      </c>
      <c r="M57" s="12" t="n">
        <v>8</v>
      </c>
      <c r="N57" s="12" t="n">
        <v>4</v>
      </c>
      <c r="O57" s="16" t="n">
        <v>400</v>
      </c>
      <c r="P57" s="12" t="n">
        <v>7</v>
      </c>
      <c r="Q57" s="12" t="n">
        <v>8</v>
      </c>
      <c r="R57" s="13" t="s">
        <v>221</v>
      </c>
      <c r="S57" s="12" t="s">
        <v>242</v>
      </c>
      <c r="T57" s="12" t="n">
        <v>9</v>
      </c>
      <c r="U57" s="12" t="n">
        <v>8</v>
      </c>
      <c r="V57" s="12" t="n">
        <v>9</v>
      </c>
      <c r="W57" s="17" t="n">
        <f aca="false">ROUND(I57*0.15+J57*0.08+K57*0.08+L57*0.1+M57*0.08+P57*0.1+Q57*0.05+T57*0.15+U57*0.12+V57*0.09,2)</f>
        <v>8.06</v>
      </c>
    </row>
    <row r="58" customFormat="false" ht="15" hidden="false" customHeight="false" outlineLevel="0" collapsed="false">
      <c r="A58" s="5" t="n">
        <v>55</v>
      </c>
      <c r="B58" s="6" t="s">
        <v>172</v>
      </c>
      <c r="C58" s="6" t="s">
        <v>233</v>
      </c>
      <c r="D58" s="6" t="s">
        <v>254</v>
      </c>
      <c r="E58" s="7" t="s">
        <v>255</v>
      </c>
      <c r="F58" s="8" t="s">
        <v>256</v>
      </c>
      <c r="G58" s="6" t="s">
        <v>257</v>
      </c>
      <c r="H58" s="9" t="s">
        <v>177</v>
      </c>
      <c r="I58" s="5" t="n">
        <v>8.5</v>
      </c>
      <c r="J58" s="5" t="n">
        <v>4</v>
      </c>
      <c r="K58" s="5" t="n">
        <v>3</v>
      </c>
      <c r="L58" s="5" t="n">
        <v>7</v>
      </c>
      <c r="M58" s="5" t="n">
        <v>7</v>
      </c>
      <c r="N58" s="5" t="n">
        <v>6</v>
      </c>
      <c r="O58" s="10" t="n">
        <v>600</v>
      </c>
      <c r="P58" s="5" t="n">
        <v>4</v>
      </c>
      <c r="Q58" s="5" t="n">
        <v>5</v>
      </c>
      <c r="R58" s="6" t="s">
        <v>37</v>
      </c>
      <c r="S58" s="5" t="s">
        <v>258</v>
      </c>
      <c r="T58" s="5" t="n">
        <v>9.5</v>
      </c>
      <c r="U58" s="5" t="n">
        <v>6.5</v>
      </c>
      <c r="V58" s="5" t="n">
        <v>7.5</v>
      </c>
      <c r="W58" s="11" t="n">
        <f aca="false">ROUND(I58*0.15+J58*0.08+K58*0.08+L58*0.1+M58*0.08+P58*0.1+Q58*0.05+T58*0.15+U58*0.12+V58*0.09,2)</f>
        <v>6.63</v>
      </c>
    </row>
    <row r="59" customFormat="false" ht="15" hidden="false" customHeight="false" outlineLevel="0" collapsed="false">
      <c r="A59" s="12" t="n">
        <v>56</v>
      </c>
      <c r="B59" s="13" t="s">
        <v>172</v>
      </c>
      <c r="C59" s="13" t="s">
        <v>233</v>
      </c>
      <c r="D59" s="13" t="s">
        <v>234</v>
      </c>
      <c r="E59" s="14" t="s">
        <v>259</v>
      </c>
      <c r="F59" s="15" t="s">
        <v>260</v>
      </c>
      <c r="G59" s="13" t="s">
        <v>261</v>
      </c>
      <c r="H59" s="9" t="s">
        <v>177</v>
      </c>
      <c r="I59" s="12" t="n">
        <v>8</v>
      </c>
      <c r="J59" s="12" t="n">
        <v>8</v>
      </c>
      <c r="K59" s="12" t="n">
        <v>5</v>
      </c>
      <c r="L59" s="12" t="n">
        <v>7</v>
      </c>
      <c r="M59" s="12" t="n">
        <v>6</v>
      </c>
      <c r="N59" s="12" t="n">
        <v>4</v>
      </c>
      <c r="O59" s="16" t="n">
        <v>600</v>
      </c>
      <c r="P59" s="12" t="n">
        <v>8</v>
      </c>
      <c r="Q59" s="12" t="n">
        <v>8</v>
      </c>
      <c r="R59" s="13" t="s">
        <v>32</v>
      </c>
      <c r="S59" s="13" t="s">
        <v>221</v>
      </c>
      <c r="T59" s="12" t="n">
        <v>6.5</v>
      </c>
      <c r="U59" s="12" t="n">
        <v>8.5</v>
      </c>
      <c r="V59" s="12" t="n">
        <v>7</v>
      </c>
      <c r="W59" s="17" t="n">
        <f aca="false">ROUND(I59*0.15+J59*0.08+K59*0.08+L59*0.1+M59*0.08+P59*0.1+Q59*0.05+T59*0.15+U59*0.12+V59*0.09,2)</f>
        <v>7.25</v>
      </c>
    </row>
    <row r="60" customFormat="false" ht="15" hidden="false" customHeight="false" outlineLevel="0" collapsed="false">
      <c r="A60" s="5" t="n">
        <v>57</v>
      </c>
      <c r="B60" s="6" t="s">
        <v>172</v>
      </c>
      <c r="C60" s="6" t="s">
        <v>233</v>
      </c>
      <c r="D60" s="6" t="s">
        <v>262</v>
      </c>
      <c r="E60" s="7" t="s">
        <v>263</v>
      </c>
      <c r="F60" s="8" t="s">
        <v>264</v>
      </c>
      <c r="G60" s="6" t="s">
        <v>151</v>
      </c>
      <c r="H60" s="9" t="s">
        <v>177</v>
      </c>
      <c r="I60" s="5" t="n">
        <v>8.2</v>
      </c>
      <c r="J60" s="5" t="n">
        <v>6</v>
      </c>
      <c r="K60" s="5" t="n">
        <v>6</v>
      </c>
      <c r="L60" s="5" t="n">
        <v>8</v>
      </c>
      <c r="M60" s="5" t="n">
        <v>8</v>
      </c>
      <c r="N60" s="5" t="n">
        <v>3</v>
      </c>
      <c r="O60" s="10" t="n">
        <v>350</v>
      </c>
      <c r="P60" s="5" t="n">
        <v>7</v>
      </c>
      <c r="Q60" s="5" t="n">
        <v>8</v>
      </c>
      <c r="R60" s="6" t="s">
        <v>221</v>
      </c>
      <c r="S60" s="6" t="s">
        <v>221</v>
      </c>
      <c r="T60" s="5" t="n">
        <v>7.5</v>
      </c>
      <c r="U60" s="5" t="n">
        <v>7.5</v>
      </c>
      <c r="V60" s="5" t="n">
        <v>9</v>
      </c>
      <c r="W60" s="11" t="n">
        <f aca="false">ROUND(I60*0.15+J60*0.08+K60*0.08+L60*0.1+M60*0.08+P60*0.1+Q60*0.05+T60*0.15+U60*0.12+V60*0.09,2)</f>
        <v>7.57</v>
      </c>
    </row>
    <row r="61" customFormat="false" ht="15" hidden="false" customHeight="false" outlineLevel="0" collapsed="false">
      <c r="A61" s="12" t="n">
        <v>58</v>
      </c>
      <c r="B61" s="13" t="s">
        <v>172</v>
      </c>
      <c r="C61" s="13" t="s">
        <v>265</v>
      </c>
      <c r="D61" s="13" t="s">
        <v>266</v>
      </c>
      <c r="E61" s="14" t="s">
        <v>267</v>
      </c>
      <c r="F61" s="15" t="s">
        <v>268</v>
      </c>
      <c r="G61" s="13" t="s">
        <v>269</v>
      </c>
      <c r="H61" s="18" t="s">
        <v>270</v>
      </c>
      <c r="I61" s="12" t="n">
        <v>9.2</v>
      </c>
      <c r="J61" s="12" t="n">
        <v>6</v>
      </c>
      <c r="K61" s="12" t="n">
        <v>5</v>
      </c>
      <c r="L61" s="12" t="n">
        <v>9</v>
      </c>
      <c r="M61" s="12" t="n">
        <v>7</v>
      </c>
      <c r="N61" s="12" t="n">
        <v>6</v>
      </c>
      <c r="O61" s="16" t="n">
        <v>400</v>
      </c>
      <c r="P61" s="12" t="n">
        <v>7</v>
      </c>
      <c r="Q61" s="12" t="n">
        <v>6</v>
      </c>
      <c r="R61" s="13" t="s">
        <v>123</v>
      </c>
      <c r="S61" s="12" t="s">
        <v>124</v>
      </c>
      <c r="T61" s="12" t="n">
        <v>9.5</v>
      </c>
      <c r="U61" s="12" t="n">
        <v>7</v>
      </c>
      <c r="V61" s="12" t="n">
        <v>8.5</v>
      </c>
      <c r="W61" s="17" t="n">
        <f aca="false">ROUND(I61*0.15+J61*0.08+K61*0.08+L61*0.1+M61*0.08+P61*0.1+Q61*0.05+T61*0.15+U61*0.12+V61*0.09,2)</f>
        <v>7.75</v>
      </c>
    </row>
    <row r="62" customFormat="false" ht="15" hidden="false" customHeight="false" outlineLevel="0" collapsed="false">
      <c r="A62" s="5" t="n">
        <v>59</v>
      </c>
      <c r="B62" s="6" t="s">
        <v>172</v>
      </c>
      <c r="C62" s="6" t="s">
        <v>265</v>
      </c>
      <c r="D62" s="6" t="s">
        <v>271</v>
      </c>
      <c r="E62" s="7" t="s">
        <v>272</v>
      </c>
      <c r="F62" s="8" t="s">
        <v>273</v>
      </c>
      <c r="G62" s="6" t="s">
        <v>30</v>
      </c>
      <c r="H62" s="18" t="s">
        <v>270</v>
      </c>
      <c r="I62" s="5" t="n">
        <v>9.2</v>
      </c>
      <c r="J62" s="5" t="n">
        <v>7</v>
      </c>
      <c r="K62" s="5" t="n">
        <v>7</v>
      </c>
      <c r="L62" s="5" t="n">
        <v>10</v>
      </c>
      <c r="M62" s="5" t="n">
        <v>9</v>
      </c>
      <c r="N62" s="5" t="n">
        <v>4</v>
      </c>
      <c r="O62" s="10" t="n">
        <v>300</v>
      </c>
      <c r="P62" s="5" t="n">
        <v>7</v>
      </c>
      <c r="Q62" s="5" t="n">
        <v>7</v>
      </c>
      <c r="R62" s="6" t="s">
        <v>109</v>
      </c>
      <c r="S62" s="5" t="s">
        <v>274</v>
      </c>
      <c r="T62" s="5" t="n">
        <v>9</v>
      </c>
      <c r="U62" s="5" t="n">
        <v>7.5</v>
      </c>
      <c r="V62" s="5" t="n">
        <v>9.5</v>
      </c>
      <c r="W62" s="11" t="n">
        <f aca="false">ROUND(I62*0.15+J62*0.08+K62*0.08+L62*0.1+M62*0.08+P62*0.1+Q62*0.05+T62*0.15+U62*0.12+V62*0.09,2)</f>
        <v>8.38</v>
      </c>
    </row>
    <row r="63" customFormat="false" ht="15" hidden="false" customHeight="false" outlineLevel="0" collapsed="false">
      <c r="A63" s="12" t="n">
        <v>60</v>
      </c>
      <c r="B63" s="13" t="s">
        <v>172</v>
      </c>
      <c r="C63" s="13" t="s">
        <v>265</v>
      </c>
      <c r="D63" s="13" t="s">
        <v>275</v>
      </c>
      <c r="E63" s="14" t="s">
        <v>276</v>
      </c>
      <c r="F63" s="15" t="s">
        <v>277</v>
      </c>
      <c r="G63" s="13" t="s">
        <v>278</v>
      </c>
      <c r="H63" s="18" t="s">
        <v>270</v>
      </c>
      <c r="I63" s="12" t="n">
        <v>8.8</v>
      </c>
      <c r="J63" s="12" t="n">
        <v>8</v>
      </c>
      <c r="K63" s="12" t="n">
        <v>5</v>
      </c>
      <c r="L63" s="12" t="n">
        <v>9</v>
      </c>
      <c r="M63" s="12" t="n">
        <v>7</v>
      </c>
      <c r="N63" s="12" t="n">
        <v>5</v>
      </c>
      <c r="O63" s="16" t="n">
        <v>400</v>
      </c>
      <c r="P63" s="12" t="n">
        <v>7</v>
      </c>
      <c r="Q63" s="12" t="n">
        <v>7</v>
      </c>
      <c r="R63" s="13" t="s">
        <v>109</v>
      </c>
      <c r="S63" s="12" t="s">
        <v>274</v>
      </c>
      <c r="T63" s="12" t="n">
        <v>7.5</v>
      </c>
      <c r="U63" s="12" t="n">
        <v>8</v>
      </c>
      <c r="V63" s="12" t="n">
        <v>8</v>
      </c>
      <c r="W63" s="17" t="n">
        <f aca="false">ROUND(I63*0.15+J63*0.08+K63*0.08+L63*0.1+M63*0.08+P63*0.1+Q63*0.05+T63*0.15+U63*0.12+V63*0.09,2)</f>
        <v>7.68</v>
      </c>
    </row>
    <row r="64" customFormat="false" ht="15" hidden="false" customHeight="false" outlineLevel="0" collapsed="false">
      <c r="A64" s="5" t="n">
        <v>61</v>
      </c>
      <c r="B64" s="6" t="s">
        <v>172</v>
      </c>
      <c r="C64" s="6" t="s">
        <v>265</v>
      </c>
      <c r="D64" s="6" t="s">
        <v>279</v>
      </c>
      <c r="E64" s="7" t="s">
        <v>280</v>
      </c>
      <c r="F64" s="8" t="s">
        <v>281</v>
      </c>
      <c r="G64" s="6" t="s">
        <v>30</v>
      </c>
      <c r="H64" s="18" t="s">
        <v>270</v>
      </c>
      <c r="I64" s="5" t="n">
        <v>8.5</v>
      </c>
      <c r="J64" s="5" t="n">
        <v>5</v>
      </c>
      <c r="K64" s="5" t="n">
        <v>5</v>
      </c>
      <c r="L64" s="5" t="n">
        <v>8</v>
      </c>
      <c r="M64" s="5" t="n">
        <v>8</v>
      </c>
      <c r="N64" s="5" t="n">
        <v>4</v>
      </c>
      <c r="O64" s="10" t="n">
        <v>300</v>
      </c>
      <c r="P64" s="5" t="n">
        <v>7</v>
      </c>
      <c r="Q64" s="5" t="n">
        <v>7</v>
      </c>
      <c r="R64" s="6" t="s">
        <v>109</v>
      </c>
      <c r="S64" s="5" t="s">
        <v>274</v>
      </c>
      <c r="T64" s="5" t="n">
        <v>9</v>
      </c>
      <c r="U64" s="5" t="n">
        <v>7</v>
      </c>
      <c r="V64" s="5" t="n">
        <v>9</v>
      </c>
      <c r="W64" s="11" t="n">
        <f aca="false">ROUND(I64*0.15+J64*0.08+K64*0.08+L64*0.1+M64*0.08+P64*0.1+Q64*0.05+T64*0.15+U64*0.12+V64*0.09,2)</f>
        <v>7.57</v>
      </c>
    </row>
    <row r="65" customFormat="false" ht="15" hidden="false" customHeight="false" outlineLevel="0" collapsed="false">
      <c r="A65" s="12" t="n">
        <v>62</v>
      </c>
      <c r="B65" s="13" t="s">
        <v>172</v>
      </c>
      <c r="C65" s="13" t="s">
        <v>265</v>
      </c>
      <c r="D65" s="13" t="s">
        <v>282</v>
      </c>
      <c r="E65" s="14" t="s">
        <v>283</v>
      </c>
      <c r="F65" s="15" t="s">
        <v>284</v>
      </c>
      <c r="G65" s="13" t="s">
        <v>285</v>
      </c>
      <c r="H65" s="18" t="s">
        <v>270</v>
      </c>
      <c r="I65" s="12" t="n">
        <v>8.5</v>
      </c>
      <c r="J65" s="12" t="n">
        <v>6</v>
      </c>
      <c r="K65" s="12" t="n">
        <v>4</v>
      </c>
      <c r="L65" s="12" t="n">
        <v>7</v>
      </c>
      <c r="M65" s="12" t="n">
        <v>8</v>
      </c>
      <c r="N65" s="12" t="n">
        <v>3</v>
      </c>
      <c r="O65" s="16" t="n">
        <v>300</v>
      </c>
      <c r="P65" s="12" t="n">
        <v>8</v>
      </c>
      <c r="Q65" s="12" t="n">
        <v>8</v>
      </c>
      <c r="R65" s="13" t="s">
        <v>89</v>
      </c>
      <c r="S65" s="12" t="s">
        <v>189</v>
      </c>
      <c r="T65" s="12" t="n">
        <v>8</v>
      </c>
      <c r="U65" s="12" t="n">
        <v>7</v>
      </c>
      <c r="V65" s="12" t="n">
        <v>9</v>
      </c>
      <c r="W65" s="17" t="n">
        <f aca="false">ROUND(I65*0.15+J65*0.08+K65*0.08+L65*0.1+M65*0.08+P65*0.1+Q65*0.05+T65*0.15+U65*0.12+V65*0.09,2)</f>
        <v>7.47</v>
      </c>
    </row>
    <row r="66" customFormat="false" ht="15" hidden="false" customHeight="false" outlineLevel="0" collapsed="false">
      <c r="A66" s="5" t="n">
        <v>63</v>
      </c>
      <c r="B66" s="6" t="s">
        <v>172</v>
      </c>
      <c r="C66" s="6" t="s">
        <v>265</v>
      </c>
      <c r="D66" s="6" t="s">
        <v>286</v>
      </c>
      <c r="E66" s="7" t="s">
        <v>287</v>
      </c>
      <c r="F66" s="8" t="s">
        <v>288</v>
      </c>
      <c r="G66" s="6" t="s">
        <v>289</v>
      </c>
      <c r="H66" s="18" t="s">
        <v>270</v>
      </c>
      <c r="I66" s="5" t="n">
        <v>9</v>
      </c>
      <c r="J66" s="5" t="n">
        <v>6</v>
      </c>
      <c r="K66" s="5" t="n">
        <v>5</v>
      </c>
      <c r="L66" s="5" t="n">
        <v>9</v>
      </c>
      <c r="M66" s="5" t="n">
        <v>7</v>
      </c>
      <c r="N66" s="5" t="n">
        <v>5</v>
      </c>
      <c r="O66" s="10" t="n">
        <v>300</v>
      </c>
      <c r="P66" s="5" t="n">
        <v>6</v>
      </c>
      <c r="Q66" s="5" t="n">
        <v>6</v>
      </c>
      <c r="R66" s="6" t="s">
        <v>123</v>
      </c>
      <c r="S66" s="5" t="s">
        <v>124</v>
      </c>
      <c r="T66" s="5" t="n">
        <v>9.5</v>
      </c>
      <c r="U66" s="5" t="n">
        <v>7</v>
      </c>
      <c r="V66" s="5" t="n">
        <v>9.5</v>
      </c>
      <c r="W66" s="11" t="n">
        <f aca="false">ROUND(I66*0.15+J66*0.08+K66*0.08+L66*0.1+M66*0.08+P66*0.1+Q66*0.05+T66*0.15+U66*0.12+V66*0.09,2)</f>
        <v>7.71</v>
      </c>
    </row>
    <row r="67" customFormat="false" ht="15" hidden="false" customHeight="false" outlineLevel="0" collapsed="false">
      <c r="A67" s="12" t="n">
        <v>64</v>
      </c>
      <c r="B67" s="13" t="s">
        <v>172</v>
      </c>
      <c r="C67" s="13" t="s">
        <v>265</v>
      </c>
      <c r="D67" s="13" t="s">
        <v>290</v>
      </c>
      <c r="E67" s="14" t="s">
        <v>291</v>
      </c>
      <c r="F67" s="15" t="s">
        <v>292</v>
      </c>
      <c r="G67" s="13" t="s">
        <v>293</v>
      </c>
      <c r="H67" s="18" t="s">
        <v>270</v>
      </c>
      <c r="I67" s="12" t="n">
        <v>8.8</v>
      </c>
      <c r="J67" s="12" t="n">
        <v>4</v>
      </c>
      <c r="K67" s="12" t="n">
        <v>3</v>
      </c>
      <c r="L67" s="12" t="n">
        <v>8</v>
      </c>
      <c r="M67" s="12" t="n">
        <v>8</v>
      </c>
      <c r="N67" s="12" t="n">
        <v>6</v>
      </c>
      <c r="O67" s="16" t="n">
        <v>300</v>
      </c>
      <c r="P67" s="12" t="n">
        <v>5</v>
      </c>
      <c r="Q67" s="12" t="n">
        <v>5</v>
      </c>
      <c r="R67" s="13" t="s">
        <v>104</v>
      </c>
      <c r="S67" s="12" t="s">
        <v>294</v>
      </c>
      <c r="T67" s="12" t="n">
        <v>8.5</v>
      </c>
      <c r="U67" s="12" t="n">
        <v>6</v>
      </c>
      <c r="V67" s="12" t="n">
        <v>9</v>
      </c>
      <c r="W67" s="17" t="n">
        <f aca="false">ROUND(I67*0.15+J67*0.08+K67*0.08+L67*0.1+M67*0.08+P67*0.1+Q67*0.05+T67*0.15+U67*0.12+V67*0.09,2)</f>
        <v>6.88</v>
      </c>
    </row>
    <row r="68" customFormat="false" ht="15" hidden="false" customHeight="false" outlineLevel="0" collapsed="false">
      <c r="A68" s="5" t="n">
        <v>65</v>
      </c>
      <c r="B68" s="6" t="s">
        <v>172</v>
      </c>
      <c r="C68" s="6" t="s">
        <v>265</v>
      </c>
      <c r="D68" s="6" t="s">
        <v>295</v>
      </c>
      <c r="E68" s="7" t="s">
        <v>295</v>
      </c>
      <c r="F68" s="8" t="s">
        <v>296</v>
      </c>
      <c r="G68" s="6" t="s">
        <v>188</v>
      </c>
      <c r="H68" s="18" t="s">
        <v>270</v>
      </c>
      <c r="I68" s="5" t="n">
        <v>8.5</v>
      </c>
      <c r="J68" s="5" t="n">
        <v>7</v>
      </c>
      <c r="K68" s="5" t="n">
        <v>5</v>
      </c>
      <c r="L68" s="5" t="n">
        <v>9</v>
      </c>
      <c r="M68" s="5" t="n">
        <v>7</v>
      </c>
      <c r="N68" s="5" t="n">
        <v>5</v>
      </c>
      <c r="O68" s="10" t="n">
        <v>500</v>
      </c>
      <c r="P68" s="5" t="n">
        <v>6</v>
      </c>
      <c r="Q68" s="5" t="n">
        <v>7</v>
      </c>
      <c r="R68" s="6" t="s">
        <v>89</v>
      </c>
      <c r="S68" s="5" t="s">
        <v>189</v>
      </c>
      <c r="T68" s="5" t="n">
        <v>7</v>
      </c>
      <c r="U68" s="5" t="n">
        <v>8</v>
      </c>
      <c r="V68" s="5" t="n">
        <v>8</v>
      </c>
      <c r="W68" s="11" t="n">
        <f aca="false">ROUND(I68*0.15+J68*0.08+K68*0.08+L68*0.1+M68*0.08+P68*0.1+Q68*0.05+T68*0.15+U68*0.12+V68*0.09,2)</f>
        <v>7.38</v>
      </c>
    </row>
    <row r="69" customFormat="false" ht="15" hidden="false" customHeight="false" outlineLevel="0" collapsed="false">
      <c r="A69" s="12" t="n">
        <v>66</v>
      </c>
      <c r="B69" s="13" t="s">
        <v>172</v>
      </c>
      <c r="C69" s="13" t="s">
        <v>297</v>
      </c>
      <c r="D69" s="13" t="s">
        <v>298</v>
      </c>
      <c r="E69" s="14" t="s">
        <v>299</v>
      </c>
      <c r="F69" s="15" t="s">
        <v>300</v>
      </c>
      <c r="G69" s="13" t="s">
        <v>301</v>
      </c>
      <c r="H69" s="9" t="s">
        <v>31</v>
      </c>
      <c r="I69" s="12" t="n">
        <v>9.2</v>
      </c>
      <c r="J69" s="12" t="n">
        <v>7</v>
      </c>
      <c r="K69" s="12" t="n">
        <v>5</v>
      </c>
      <c r="L69" s="12" t="n">
        <v>10</v>
      </c>
      <c r="M69" s="12" t="n">
        <v>8</v>
      </c>
      <c r="N69" s="12" t="n">
        <v>7</v>
      </c>
      <c r="O69" s="16" t="n">
        <v>500</v>
      </c>
      <c r="P69" s="12" t="n">
        <v>8</v>
      </c>
      <c r="Q69" s="12" t="n">
        <v>7</v>
      </c>
      <c r="R69" s="13" t="s">
        <v>302</v>
      </c>
      <c r="S69" s="12" t="s">
        <v>139</v>
      </c>
      <c r="T69" s="12" t="n">
        <v>9</v>
      </c>
      <c r="U69" s="12" t="n">
        <v>8</v>
      </c>
      <c r="V69" s="12" t="n">
        <v>8.5</v>
      </c>
      <c r="W69" s="17" t="n">
        <f aca="false">ROUND(I69*0.15+J69*0.08+K69*0.08+L69*0.1+M69*0.08+P69*0.1+Q69*0.05+T69*0.15+U69*0.12+V69*0.09,2)</f>
        <v>8.21</v>
      </c>
    </row>
    <row r="70" customFormat="false" ht="15" hidden="false" customHeight="false" outlineLevel="0" collapsed="false">
      <c r="A70" s="5" t="n">
        <v>67</v>
      </c>
      <c r="B70" s="6" t="s">
        <v>172</v>
      </c>
      <c r="C70" s="6" t="s">
        <v>297</v>
      </c>
      <c r="D70" s="6" t="s">
        <v>298</v>
      </c>
      <c r="E70" s="7" t="s">
        <v>303</v>
      </c>
      <c r="F70" s="8" t="s">
        <v>304</v>
      </c>
      <c r="G70" s="6" t="s">
        <v>305</v>
      </c>
      <c r="H70" s="9" t="s">
        <v>31</v>
      </c>
      <c r="I70" s="5" t="n">
        <v>8.5</v>
      </c>
      <c r="J70" s="5" t="n">
        <v>7</v>
      </c>
      <c r="K70" s="5" t="n">
        <v>5</v>
      </c>
      <c r="L70" s="5" t="n">
        <v>9</v>
      </c>
      <c r="M70" s="5" t="n">
        <v>8</v>
      </c>
      <c r="N70" s="5" t="n">
        <v>5</v>
      </c>
      <c r="O70" s="10" t="n">
        <v>600</v>
      </c>
      <c r="P70" s="5" t="n">
        <v>8</v>
      </c>
      <c r="Q70" s="5" t="n">
        <v>7</v>
      </c>
      <c r="R70" s="6" t="s">
        <v>302</v>
      </c>
      <c r="S70" s="5" t="s">
        <v>139</v>
      </c>
      <c r="T70" s="5" t="n">
        <v>7</v>
      </c>
      <c r="U70" s="5" t="n">
        <v>8.5</v>
      </c>
      <c r="V70" s="5" t="n">
        <v>7.5</v>
      </c>
      <c r="W70" s="11" t="n">
        <f aca="false">ROUND(I70*0.15+J70*0.08+K70*0.08+L70*0.1+M70*0.08+P70*0.1+Q70*0.05+T70*0.15+U70*0.12+V70*0.09,2)</f>
        <v>7.67</v>
      </c>
    </row>
    <row r="71" customFormat="false" ht="15" hidden="false" customHeight="false" outlineLevel="0" collapsed="false">
      <c r="A71" s="12" t="n">
        <v>68</v>
      </c>
      <c r="B71" s="13" t="s">
        <v>172</v>
      </c>
      <c r="C71" s="13" t="s">
        <v>297</v>
      </c>
      <c r="D71" s="13" t="s">
        <v>306</v>
      </c>
      <c r="E71" s="14" t="s">
        <v>307</v>
      </c>
      <c r="F71" s="15" t="s">
        <v>308</v>
      </c>
      <c r="G71" s="13" t="s">
        <v>30</v>
      </c>
      <c r="H71" s="9" t="s">
        <v>31</v>
      </c>
      <c r="I71" s="12" t="n">
        <v>9.3</v>
      </c>
      <c r="J71" s="12" t="n">
        <v>6</v>
      </c>
      <c r="K71" s="12" t="n">
        <v>5</v>
      </c>
      <c r="L71" s="12" t="n">
        <v>8</v>
      </c>
      <c r="M71" s="12" t="n">
        <v>8</v>
      </c>
      <c r="N71" s="12" t="n">
        <v>4</v>
      </c>
      <c r="O71" s="16" t="n">
        <v>350</v>
      </c>
      <c r="P71" s="12" t="n">
        <v>6</v>
      </c>
      <c r="Q71" s="12" t="n">
        <v>7</v>
      </c>
      <c r="R71" s="13" t="s">
        <v>302</v>
      </c>
      <c r="S71" s="12" t="s">
        <v>309</v>
      </c>
      <c r="T71" s="12" t="n">
        <v>10</v>
      </c>
      <c r="U71" s="12" t="n">
        <v>7.5</v>
      </c>
      <c r="V71" s="12" t="n">
        <v>9</v>
      </c>
      <c r="W71" s="17" t="n">
        <f aca="false">ROUND(I71*0.15+J71*0.08+K71*0.08+L71*0.1+M71*0.08+P71*0.1+Q71*0.05+T71*0.15+U71*0.12+V71*0.09,2)</f>
        <v>7.88</v>
      </c>
    </row>
    <row r="72" customFormat="false" ht="15" hidden="false" customHeight="false" outlineLevel="0" collapsed="false">
      <c r="A72" s="5" t="n">
        <v>69</v>
      </c>
      <c r="B72" s="6" t="s">
        <v>172</v>
      </c>
      <c r="C72" s="6" t="s">
        <v>297</v>
      </c>
      <c r="D72" s="6" t="s">
        <v>306</v>
      </c>
      <c r="E72" s="7" t="s">
        <v>310</v>
      </c>
      <c r="F72" s="8" t="s">
        <v>311</v>
      </c>
      <c r="G72" s="6" t="s">
        <v>30</v>
      </c>
      <c r="H72" s="9" t="s">
        <v>31</v>
      </c>
      <c r="I72" s="5" t="n">
        <v>8.8</v>
      </c>
      <c r="J72" s="5" t="n">
        <v>5</v>
      </c>
      <c r="K72" s="5" t="n">
        <v>5</v>
      </c>
      <c r="L72" s="5" t="n">
        <v>8</v>
      </c>
      <c r="M72" s="5" t="n">
        <v>8</v>
      </c>
      <c r="N72" s="5" t="n">
        <v>3</v>
      </c>
      <c r="O72" s="10" t="n">
        <v>350</v>
      </c>
      <c r="P72" s="5" t="n">
        <v>6</v>
      </c>
      <c r="Q72" s="5" t="n">
        <v>7</v>
      </c>
      <c r="R72" s="6" t="s">
        <v>302</v>
      </c>
      <c r="S72" s="5" t="s">
        <v>309</v>
      </c>
      <c r="T72" s="5" t="n">
        <v>9.5</v>
      </c>
      <c r="U72" s="5" t="n">
        <v>7</v>
      </c>
      <c r="V72" s="5" t="n">
        <v>9</v>
      </c>
      <c r="W72" s="11" t="n">
        <f aca="false">ROUND(I72*0.15+J72*0.08+K72*0.08+L72*0.1+M72*0.08+P72*0.1+Q72*0.05+T72*0.15+U72*0.12+V72*0.09,2)</f>
        <v>7.59</v>
      </c>
    </row>
    <row r="73" customFormat="false" ht="15" hidden="false" customHeight="false" outlineLevel="0" collapsed="false">
      <c r="A73" s="12" t="n">
        <v>70</v>
      </c>
      <c r="B73" s="13" t="s">
        <v>172</v>
      </c>
      <c r="C73" s="13" t="s">
        <v>297</v>
      </c>
      <c r="D73" s="13" t="s">
        <v>312</v>
      </c>
      <c r="E73" s="14" t="s">
        <v>313</v>
      </c>
      <c r="F73" s="15" t="s">
        <v>314</v>
      </c>
      <c r="G73" s="13" t="s">
        <v>315</v>
      </c>
      <c r="H73" s="9" t="s">
        <v>31</v>
      </c>
      <c r="I73" s="12" t="n">
        <v>9</v>
      </c>
      <c r="J73" s="12" t="n">
        <v>4</v>
      </c>
      <c r="K73" s="12" t="n">
        <v>3</v>
      </c>
      <c r="L73" s="12" t="n">
        <v>8</v>
      </c>
      <c r="M73" s="12" t="n">
        <v>7</v>
      </c>
      <c r="N73" s="12" t="n">
        <v>6</v>
      </c>
      <c r="O73" s="16" t="n">
        <v>700</v>
      </c>
      <c r="P73" s="12" t="n">
        <v>4</v>
      </c>
      <c r="Q73" s="12" t="n">
        <v>4</v>
      </c>
      <c r="R73" s="13" t="s">
        <v>302</v>
      </c>
      <c r="S73" s="12" t="s">
        <v>316</v>
      </c>
      <c r="T73" s="12" t="n">
        <v>10</v>
      </c>
      <c r="U73" s="12" t="n">
        <v>6</v>
      </c>
      <c r="V73" s="12" t="n">
        <v>7.5</v>
      </c>
      <c r="W73" s="17" t="n">
        <f aca="false">ROUND(I73*0.15+J73*0.08+K73*0.08+L73*0.1+M73*0.08+P73*0.1+Q73*0.05+T73*0.15+U73*0.12+V73*0.09,2)</f>
        <v>6.77</v>
      </c>
    </row>
    <row r="74" customFormat="false" ht="15" hidden="false" customHeight="false" outlineLevel="0" collapsed="false">
      <c r="A74" s="5" t="n">
        <v>71</v>
      </c>
      <c r="B74" s="6" t="s">
        <v>172</v>
      </c>
      <c r="C74" s="6" t="s">
        <v>297</v>
      </c>
      <c r="D74" s="6" t="s">
        <v>317</v>
      </c>
      <c r="E74" s="7" t="s">
        <v>318</v>
      </c>
      <c r="F74" s="8" t="s">
        <v>319</v>
      </c>
      <c r="G74" s="6" t="s">
        <v>320</v>
      </c>
      <c r="H74" s="9" t="s">
        <v>31</v>
      </c>
      <c r="I74" s="5" t="n">
        <v>9.5</v>
      </c>
      <c r="J74" s="5" t="n">
        <v>3</v>
      </c>
      <c r="K74" s="5" t="n">
        <v>2</v>
      </c>
      <c r="L74" s="5" t="n">
        <v>8</v>
      </c>
      <c r="M74" s="5" t="n">
        <v>7</v>
      </c>
      <c r="N74" s="5" t="n">
        <v>7</v>
      </c>
      <c r="O74" s="10" t="n">
        <v>1000</v>
      </c>
      <c r="P74" s="5" t="n">
        <v>3</v>
      </c>
      <c r="Q74" s="5" t="n">
        <v>4</v>
      </c>
      <c r="R74" s="6" t="s">
        <v>302</v>
      </c>
      <c r="S74" s="5" t="s">
        <v>124</v>
      </c>
      <c r="T74" s="5" t="n">
        <v>10</v>
      </c>
      <c r="U74" s="5" t="n">
        <v>5</v>
      </c>
      <c r="V74" s="5" t="n">
        <v>7.5</v>
      </c>
      <c r="W74" s="11" t="n">
        <f aca="false">ROUND(I74*0.15+J74*0.08+K74*0.08+L74*0.1+M74*0.08+P74*0.1+Q74*0.05+T74*0.15+U74*0.12+V74*0.09,2)</f>
        <v>6.46</v>
      </c>
    </row>
    <row r="75" customFormat="false" ht="15" hidden="false" customHeight="false" outlineLevel="0" collapsed="false">
      <c r="A75" s="12" t="n">
        <v>72</v>
      </c>
      <c r="B75" s="13" t="s">
        <v>172</v>
      </c>
      <c r="C75" s="13" t="s">
        <v>321</v>
      </c>
      <c r="D75" s="13" t="s">
        <v>322</v>
      </c>
      <c r="E75" s="14" t="s">
        <v>323</v>
      </c>
      <c r="F75" s="15" t="s">
        <v>324</v>
      </c>
      <c r="G75" s="13" t="s">
        <v>188</v>
      </c>
      <c r="H75" s="9" t="s">
        <v>325</v>
      </c>
      <c r="I75" s="12" t="n">
        <v>8.8</v>
      </c>
      <c r="J75" s="12" t="n">
        <v>7</v>
      </c>
      <c r="K75" s="12" t="n">
        <v>5</v>
      </c>
      <c r="L75" s="12" t="n">
        <v>9</v>
      </c>
      <c r="M75" s="12" t="n">
        <v>7</v>
      </c>
      <c r="N75" s="12" t="n">
        <v>5</v>
      </c>
      <c r="O75" s="16" t="n">
        <v>500</v>
      </c>
      <c r="P75" s="12" t="n">
        <v>6</v>
      </c>
      <c r="Q75" s="12" t="n">
        <v>6</v>
      </c>
      <c r="R75" s="13" t="s">
        <v>302</v>
      </c>
      <c r="S75" s="12" t="s">
        <v>326</v>
      </c>
      <c r="T75" s="12" t="n">
        <v>7.5</v>
      </c>
      <c r="U75" s="12" t="n">
        <v>7.5</v>
      </c>
      <c r="V75" s="12" t="n">
        <v>8</v>
      </c>
      <c r="W75" s="17" t="n">
        <f aca="false">ROUND(I75*0.15+J75*0.08+K75*0.08+L75*0.1+M75*0.08+P75*0.1+Q75*0.05+T75*0.15+U75*0.12+V75*0.09,2)</f>
        <v>7.39</v>
      </c>
    </row>
    <row r="76" customFormat="false" ht="15" hidden="false" customHeight="false" outlineLevel="0" collapsed="false">
      <c r="A76" s="5" t="n">
        <v>73</v>
      </c>
      <c r="B76" s="6" t="s">
        <v>172</v>
      </c>
      <c r="C76" s="6" t="s">
        <v>321</v>
      </c>
      <c r="D76" s="6" t="s">
        <v>327</v>
      </c>
      <c r="E76" s="7" t="s">
        <v>328</v>
      </c>
      <c r="F76" s="8" t="s">
        <v>329</v>
      </c>
      <c r="G76" s="6" t="s">
        <v>330</v>
      </c>
      <c r="H76" s="9" t="s">
        <v>325</v>
      </c>
      <c r="I76" s="5" t="n">
        <v>9.3</v>
      </c>
      <c r="J76" s="5" t="n">
        <v>5</v>
      </c>
      <c r="K76" s="5" t="n">
        <v>3</v>
      </c>
      <c r="L76" s="5" t="n">
        <v>9</v>
      </c>
      <c r="M76" s="5" t="n">
        <v>8</v>
      </c>
      <c r="N76" s="5" t="n">
        <v>6</v>
      </c>
      <c r="O76" s="10" t="n">
        <v>500</v>
      </c>
      <c r="P76" s="5" t="n">
        <v>4</v>
      </c>
      <c r="Q76" s="5" t="n">
        <v>5</v>
      </c>
      <c r="R76" s="6" t="s">
        <v>302</v>
      </c>
      <c r="S76" s="5" t="s">
        <v>331</v>
      </c>
      <c r="T76" s="5" t="n">
        <v>9.5</v>
      </c>
      <c r="U76" s="5" t="n">
        <v>6</v>
      </c>
      <c r="V76" s="5" t="n">
        <v>8.5</v>
      </c>
      <c r="W76" s="11" t="n">
        <f aca="false">ROUND(I76*0.15+J76*0.08+K76*0.08+L76*0.1+M76*0.08+P76*0.1+Q76*0.05+T76*0.15+U76*0.12+V76*0.09,2)</f>
        <v>7.14</v>
      </c>
    </row>
    <row r="77" customFormat="false" ht="15" hidden="false" customHeight="false" outlineLevel="0" collapsed="false">
      <c r="A77" s="12" t="n">
        <v>74</v>
      </c>
      <c r="B77" s="13" t="s">
        <v>172</v>
      </c>
      <c r="C77" s="13" t="s">
        <v>321</v>
      </c>
      <c r="D77" s="13" t="s">
        <v>332</v>
      </c>
      <c r="E77" s="14" t="s">
        <v>333</v>
      </c>
      <c r="F77" s="15" t="s">
        <v>334</v>
      </c>
      <c r="G77" s="13" t="s">
        <v>315</v>
      </c>
      <c r="H77" s="9" t="s">
        <v>325</v>
      </c>
      <c r="I77" s="12" t="n">
        <v>8.5</v>
      </c>
      <c r="J77" s="12" t="n">
        <v>7</v>
      </c>
      <c r="K77" s="12" t="n">
        <v>5</v>
      </c>
      <c r="L77" s="12" t="n">
        <v>8</v>
      </c>
      <c r="M77" s="12" t="n">
        <v>7</v>
      </c>
      <c r="N77" s="12" t="n">
        <v>4</v>
      </c>
      <c r="O77" s="16" t="n">
        <v>400</v>
      </c>
      <c r="P77" s="12" t="n">
        <v>5</v>
      </c>
      <c r="Q77" s="12" t="n">
        <v>6</v>
      </c>
      <c r="R77" s="13" t="s">
        <v>302</v>
      </c>
      <c r="S77" s="12" t="s">
        <v>331</v>
      </c>
      <c r="T77" s="12" t="n">
        <v>8</v>
      </c>
      <c r="U77" s="12" t="n">
        <v>7</v>
      </c>
      <c r="V77" s="12" t="n">
        <v>8.5</v>
      </c>
      <c r="W77" s="17" t="n">
        <f aca="false">ROUND(I77*0.15+J77*0.08+K77*0.08+L77*0.1+M77*0.08+P77*0.1+Q77*0.05+T77*0.15+U77*0.12+V77*0.09,2)</f>
        <v>7.2</v>
      </c>
    </row>
    <row r="78" customFormat="false" ht="15" hidden="false" customHeight="false" outlineLevel="0" collapsed="false">
      <c r="A78" s="5" t="n">
        <v>75</v>
      </c>
      <c r="B78" s="6" t="s">
        <v>172</v>
      </c>
      <c r="C78" s="6" t="s">
        <v>321</v>
      </c>
      <c r="D78" s="6" t="s">
        <v>335</v>
      </c>
      <c r="E78" s="7" t="s">
        <v>336</v>
      </c>
      <c r="F78" s="8" t="s">
        <v>337</v>
      </c>
      <c r="G78" s="6" t="s">
        <v>338</v>
      </c>
      <c r="H78" s="9" t="s">
        <v>325</v>
      </c>
      <c r="I78" s="5" t="n">
        <v>8.8</v>
      </c>
      <c r="J78" s="5" t="n">
        <v>5</v>
      </c>
      <c r="K78" s="5" t="n">
        <v>3</v>
      </c>
      <c r="L78" s="5" t="n">
        <v>8</v>
      </c>
      <c r="M78" s="5" t="n">
        <v>7</v>
      </c>
      <c r="N78" s="5" t="n">
        <v>5</v>
      </c>
      <c r="O78" s="10" t="n">
        <v>400</v>
      </c>
      <c r="P78" s="5" t="n">
        <v>6</v>
      </c>
      <c r="Q78" s="5" t="n">
        <v>6</v>
      </c>
      <c r="R78" s="6" t="s">
        <v>302</v>
      </c>
      <c r="S78" s="5" t="s">
        <v>331</v>
      </c>
      <c r="T78" s="5" t="n">
        <v>8</v>
      </c>
      <c r="U78" s="5" t="n">
        <v>7</v>
      </c>
      <c r="V78" s="5" t="n">
        <v>8.5</v>
      </c>
      <c r="W78" s="11" t="n">
        <f aca="false">ROUND(I78*0.15+J78*0.08+K78*0.08+L78*0.1+M78*0.08+P78*0.1+Q78*0.05+T78*0.15+U78*0.12+V78*0.09,2)</f>
        <v>7.03</v>
      </c>
    </row>
    <row r="79" customFormat="false" ht="15" hidden="false" customHeight="false" outlineLevel="0" collapsed="false">
      <c r="A79" s="12" t="n">
        <v>76</v>
      </c>
      <c r="B79" s="13" t="s">
        <v>172</v>
      </c>
      <c r="C79" s="13" t="s">
        <v>321</v>
      </c>
      <c r="D79" s="13" t="s">
        <v>339</v>
      </c>
      <c r="E79" s="14" t="s">
        <v>340</v>
      </c>
      <c r="F79" s="15" t="s">
        <v>341</v>
      </c>
      <c r="G79" s="13" t="s">
        <v>30</v>
      </c>
      <c r="H79" s="9" t="s">
        <v>325</v>
      </c>
      <c r="I79" s="12" t="n">
        <v>7.8</v>
      </c>
      <c r="J79" s="12" t="n">
        <v>5</v>
      </c>
      <c r="K79" s="12" t="n">
        <v>5</v>
      </c>
      <c r="L79" s="12" t="n">
        <v>6</v>
      </c>
      <c r="M79" s="12" t="n">
        <v>7</v>
      </c>
      <c r="N79" s="12" t="n">
        <v>3</v>
      </c>
      <c r="O79" s="16" t="n">
        <v>400</v>
      </c>
      <c r="P79" s="12" t="n">
        <v>8</v>
      </c>
      <c r="Q79" s="12" t="n">
        <v>8</v>
      </c>
      <c r="R79" s="13" t="s">
        <v>89</v>
      </c>
      <c r="S79" s="12" t="s">
        <v>331</v>
      </c>
      <c r="T79" s="12" t="n">
        <v>7.5</v>
      </c>
      <c r="U79" s="12" t="n">
        <v>7</v>
      </c>
      <c r="V79" s="12" t="n">
        <v>8</v>
      </c>
      <c r="W79" s="17" t="n">
        <f aca="false">ROUND(I79*0.15+J79*0.08+K79*0.08+L79*0.1+M79*0.08+P79*0.1+Q79*0.05+T79*0.15+U79*0.12+V79*0.09,2)</f>
        <v>7.02</v>
      </c>
    </row>
    <row r="80" customFormat="false" ht="15" hidden="false" customHeight="false" outlineLevel="0" collapsed="false">
      <c r="A80" s="5" t="n">
        <v>77</v>
      </c>
      <c r="B80" s="6" t="s">
        <v>172</v>
      </c>
      <c r="C80" s="6" t="s">
        <v>342</v>
      </c>
      <c r="D80" s="6" t="s">
        <v>343</v>
      </c>
      <c r="E80" s="7" t="s">
        <v>344</v>
      </c>
      <c r="F80" s="8" t="s">
        <v>345</v>
      </c>
      <c r="G80" s="6" t="s">
        <v>30</v>
      </c>
      <c r="H80" s="19" t="s">
        <v>346</v>
      </c>
      <c r="I80" s="5" t="n">
        <v>9.5</v>
      </c>
      <c r="J80" s="5" t="n">
        <v>6</v>
      </c>
      <c r="K80" s="5" t="n">
        <v>4</v>
      </c>
      <c r="L80" s="5" t="n">
        <v>9</v>
      </c>
      <c r="M80" s="5" t="n">
        <v>9</v>
      </c>
      <c r="N80" s="5" t="n">
        <v>8</v>
      </c>
      <c r="O80" s="10" t="n">
        <v>350</v>
      </c>
      <c r="P80" s="5" t="n">
        <v>6</v>
      </c>
      <c r="Q80" s="5" t="n">
        <v>6</v>
      </c>
      <c r="R80" s="6" t="s">
        <v>89</v>
      </c>
      <c r="S80" s="5" t="s">
        <v>178</v>
      </c>
      <c r="T80" s="5" t="n">
        <v>10</v>
      </c>
      <c r="U80" s="5" t="n">
        <v>7</v>
      </c>
      <c r="V80" s="5" t="n">
        <v>9</v>
      </c>
      <c r="W80" s="11" t="n">
        <f aca="false">ROUND(I80*0.15+J80*0.08+K80*0.08+L80*0.1+M80*0.08+P80*0.1+Q80*0.05+T80*0.15+U80*0.12+V80*0.09,2)</f>
        <v>7.9</v>
      </c>
    </row>
    <row r="81" customFormat="false" ht="15" hidden="false" customHeight="false" outlineLevel="0" collapsed="false">
      <c r="A81" s="12" t="n">
        <v>78</v>
      </c>
      <c r="B81" s="13" t="s">
        <v>172</v>
      </c>
      <c r="C81" s="13" t="s">
        <v>342</v>
      </c>
      <c r="D81" s="13" t="s">
        <v>347</v>
      </c>
      <c r="E81" s="14" t="s">
        <v>348</v>
      </c>
      <c r="F81" s="15" t="s">
        <v>349</v>
      </c>
      <c r="G81" s="13" t="s">
        <v>30</v>
      </c>
      <c r="H81" s="19" t="s">
        <v>346</v>
      </c>
      <c r="I81" s="12" t="n">
        <v>8</v>
      </c>
      <c r="J81" s="12" t="n">
        <v>5</v>
      </c>
      <c r="K81" s="12" t="n">
        <v>5</v>
      </c>
      <c r="L81" s="12" t="n">
        <v>7</v>
      </c>
      <c r="M81" s="12" t="n">
        <v>7</v>
      </c>
      <c r="N81" s="12" t="n">
        <v>2</v>
      </c>
      <c r="O81" s="16" t="n">
        <v>300</v>
      </c>
      <c r="P81" s="12" t="n">
        <v>7</v>
      </c>
      <c r="Q81" s="12" t="n">
        <v>8</v>
      </c>
      <c r="R81" s="13" t="s">
        <v>182</v>
      </c>
      <c r="S81" s="12" t="s">
        <v>183</v>
      </c>
      <c r="T81" s="12" t="n">
        <v>8</v>
      </c>
      <c r="U81" s="12" t="n">
        <v>7</v>
      </c>
      <c r="V81" s="12" t="n">
        <v>8.5</v>
      </c>
      <c r="W81" s="17" t="n">
        <f aca="false">ROUND(I81*0.15+J81*0.08+K81*0.08+L81*0.1+M81*0.08+P81*0.1+Q81*0.05+T81*0.15+U81*0.12+V81*0.09,2)</f>
        <v>7.17</v>
      </c>
    </row>
    <row r="82" customFormat="false" ht="15" hidden="false" customHeight="false" outlineLevel="0" collapsed="false">
      <c r="A82" s="5" t="n">
        <v>79</v>
      </c>
      <c r="B82" s="6" t="s">
        <v>172</v>
      </c>
      <c r="C82" s="6" t="s">
        <v>342</v>
      </c>
      <c r="D82" s="6" t="s">
        <v>350</v>
      </c>
      <c r="E82" s="7" t="s">
        <v>351</v>
      </c>
      <c r="F82" s="8" t="s">
        <v>352</v>
      </c>
      <c r="G82" s="6" t="s">
        <v>188</v>
      </c>
      <c r="H82" s="19" t="s">
        <v>346</v>
      </c>
      <c r="I82" s="5" t="n">
        <v>8</v>
      </c>
      <c r="J82" s="5" t="n">
        <v>6</v>
      </c>
      <c r="K82" s="5" t="n">
        <v>4</v>
      </c>
      <c r="L82" s="5" t="n">
        <v>8</v>
      </c>
      <c r="M82" s="5" t="n">
        <v>7</v>
      </c>
      <c r="N82" s="5" t="n">
        <v>5</v>
      </c>
      <c r="O82" s="10" t="n">
        <v>350</v>
      </c>
      <c r="P82" s="5" t="n">
        <v>5</v>
      </c>
      <c r="Q82" s="5" t="n">
        <v>5</v>
      </c>
      <c r="R82" s="6" t="s">
        <v>89</v>
      </c>
      <c r="S82" s="5" t="s">
        <v>189</v>
      </c>
      <c r="T82" s="5" t="n">
        <v>6.5</v>
      </c>
      <c r="U82" s="5" t="n">
        <v>6</v>
      </c>
      <c r="V82" s="5" t="n">
        <v>8.5</v>
      </c>
      <c r="W82" s="11" t="n">
        <f aca="false">ROUND(I82*0.15+J82*0.08+K82*0.08+L82*0.1+M82*0.08+P82*0.1+Q82*0.05+T82*0.15+U82*0.12+V82*0.09,2)</f>
        <v>6.57</v>
      </c>
    </row>
    <row r="83" customFormat="false" ht="15" hidden="false" customHeight="false" outlineLevel="0" collapsed="false">
      <c r="A83" s="12" t="n">
        <v>80</v>
      </c>
      <c r="B83" s="13" t="s">
        <v>172</v>
      </c>
      <c r="C83" s="13" t="s">
        <v>353</v>
      </c>
      <c r="D83" s="13" t="s">
        <v>354</v>
      </c>
      <c r="E83" s="14" t="s">
        <v>355</v>
      </c>
      <c r="F83" s="15" t="s">
        <v>356</v>
      </c>
      <c r="G83" s="13" t="s">
        <v>30</v>
      </c>
      <c r="H83" s="19" t="s">
        <v>357</v>
      </c>
      <c r="I83" s="12" t="n">
        <v>9</v>
      </c>
      <c r="J83" s="12" t="n">
        <v>5</v>
      </c>
      <c r="K83" s="12" t="n">
        <v>5</v>
      </c>
      <c r="L83" s="12" t="n">
        <v>9</v>
      </c>
      <c r="M83" s="12" t="n">
        <v>9</v>
      </c>
      <c r="N83" s="12" t="n">
        <v>4</v>
      </c>
      <c r="O83" s="16" t="n">
        <v>250</v>
      </c>
      <c r="P83" s="12" t="n">
        <v>5</v>
      </c>
      <c r="Q83" s="12" t="n">
        <v>6</v>
      </c>
      <c r="R83" s="13" t="s">
        <v>182</v>
      </c>
      <c r="S83" s="12" t="s">
        <v>183</v>
      </c>
      <c r="T83" s="12" t="n">
        <v>9.5</v>
      </c>
      <c r="U83" s="12" t="n">
        <v>6.5</v>
      </c>
      <c r="V83" s="12" t="n">
        <v>9.5</v>
      </c>
      <c r="W83" s="17" t="n">
        <f aca="false">ROUND(I83*0.15+J83*0.08+K83*0.08+L83*0.1+M83*0.08+P83*0.1+Q83*0.05+T83*0.15+U83*0.12+V83*0.09,2)</f>
        <v>7.63</v>
      </c>
    </row>
    <row r="84" customFormat="false" ht="15" hidden="false" customHeight="false" outlineLevel="0" collapsed="false">
      <c r="A84" s="5" t="n">
        <v>81</v>
      </c>
      <c r="B84" s="6" t="s">
        <v>172</v>
      </c>
      <c r="C84" s="6" t="s">
        <v>353</v>
      </c>
      <c r="D84" s="6" t="s">
        <v>358</v>
      </c>
      <c r="E84" s="7" t="s">
        <v>359</v>
      </c>
      <c r="F84" s="8" t="s">
        <v>360</v>
      </c>
      <c r="G84" s="6" t="s">
        <v>41</v>
      </c>
      <c r="H84" s="19" t="s">
        <v>357</v>
      </c>
      <c r="I84" s="5" t="n">
        <v>7.8</v>
      </c>
      <c r="J84" s="5" t="n">
        <v>5</v>
      </c>
      <c r="K84" s="5" t="n">
        <v>5</v>
      </c>
      <c r="L84" s="5" t="n">
        <v>7</v>
      </c>
      <c r="M84" s="5" t="n">
        <v>7</v>
      </c>
      <c r="N84" s="5" t="n">
        <v>3</v>
      </c>
      <c r="O84" s="10" t="n">
        <v>200</v>
      </c>
      <c r="P84" s="5" t="n">
        <v>5</v>
      </c>
      <c r="Q84" s="5" t="n">
        <v>7</v>
      </c>
      <c r="R84" s="6" t="s">
        <v>182</v>
      </c>
      <c r="S84" s="5" t="s">
        <v>183</v>
      </c>
      <c r="T84" s="5" t="n">
        <v>7.5</v>
      </c>
      <c r="U84" s="5" t="n">
        <v>6</v>
      </c>
      <c r="V84" s="5" t="n">
        <v>9</v>
      </c>
      <c r="W84" s="11" t="n">
        <f aca="false">ROUND(I84*0.15+J84*0.08+K84*0.08+L84*0.1+M84*0.08+P84*0.1+Q84*0.05+T84*0.15+U84*0.12+V84*0.09,2)</f>
        <v>6.74</v>
      </c>
    </row>
    <row r="85" customFormat="false" ht="15" hidden="false" customHeight="false" outlineLevel="0" collapsed="false">
      <c r="A85" s="12" t="n">
        <v>82</v>
      </c>
      <c r="B85" s="13" t="s">
        <v>172</v>
      </c>
      <c r="C85" s="13" t="s">
        <v>361</v>
      </c>
      <c r="D85" s="13" t="s">
        <v>362</v>
      </c>
      <c r="E85" s="14" t="s">
        <v>363</v>
      </c>
      <c r="F85" s="15" t="s">
        <v>364</v>
      </c>
      <c r="G85" s="13" t="s">
        <v>30</v>
      </c>
      <c r="H85" s="18" t="s">
        <v>270</v>
      </c>
      <c r="I85" s="12" t="n">
        <v>9.2</v>
      </c>
      <c r="J85" s="12" t="n">
        <v>4</v>
      </c>
      <c r="K85" s="12" t="n">
        <v>4</v>
      </c>
      <c r="L85" s="12" t="n">
        <v>9</v>
      </c>
      <c r="M85" s="12" t="n">
        <v>9</v>
      </c>
      <c r="N85" s="12" t="n">
        <v>6</v>
      </c>
      <c r="O85" s="16" t="n">
        <v>250</v>
      </c>
      <c r="P85" s="12" t="n">
        <v>4</v>
      </c>
      <c r="Q85" s="12" t="n">
        <v>5</v>
      </c>
      <c r="R85" s="13" t="s">
        <v>182</v>
      </c>
      <c r="S85" s="12" t="s">
        <v>183</v>
      </c>
      <c r="T85" s="12" t="n">
        <v>10</v>
      </c>
      <c r="U85" s="12" t="n">
        <v>6</v>
      </c>
      <c r="V85" s="12" t="n">
        <v>9.5</v>
      </c>
      <c r="W85" s="17" t="n">
        <f aca="false">ROUND(I85*0.15+J85*0.08+K85*0.08+L85*0.1+M85*0.08+P85*0.1+Q85*0.05+T85*0.15+U85*0.12+V85*0.09,2)</f>
        <v>7.37</v>
      </c>
    </row>
    <row r="86" customFormat="false" ht="15" hidden="false" customHeight="false" outlineLevel="0" collapsed="false">
      <c r="A86" s="5" t="n">
        <v>83</v>
      </c>
      <c r="B86" s="6" t="s">
        <v>172</v>
      </c>
      <c r="C86" s="6" t="s">
        <v>361</v>
      </c>
      <c r="D86" s="6" t="s">
        <v>365</v>
      </c>
      <c r="E86" s="7" t="s">
        <v>366</v>
      </c>
      <c r="F86" s="8" t="s">
        <v>367</v>
      </c>
      <c r="G86" s="6" t="s">
        <v>41</v>
      </c>
      <c r="H86" s="18" t="s">
        <v>270</v>
      </c>
      <c r="I86" s="5" t="n">
        <v>9</v>
      </c>
      <c r="J86" s="5" t="n">
        <v>5</v>
      </c>
      <c r="K86" s="5" t="n">
        <v>5</v>
      </c>
      <c r="L86" s="5" t="n">
        <v>8</v>
      </c>
      <c r="M86" s="5" t="n">
        <v>8</v>
      </c>
      <c r="N86" s="5" t="n">
        <v>2</v>
      </c>
      <c r="O86" s="10" t="n">
        <v>250</v>
      </c>
      <c r="P86" s="5" t="n">
        <v>5</v>
      </c>
      <c r="Q86" s="5" t="n">
        <v>7</v>
      </c>
      <c r="R86" s="6" t="s">
        <v>182</v>
      </c>
      <c r="S86" s="5" t="s">
        <v>183</v>
      </c>
      <c r="T86" s="5" t="n">
        <v>9.5</v>
      </c>
      <c r="U86" s="5" t="n">
        <v>7</v>
      </c>
      <c r="V86" s="5" t="n">
        <v>9.5</v>
      </c>
      <c r="W86" s="11" t="n">
        <f aca="false">ROUND(I86*0.15+J86*0.08+K86*0.08+L86*0.1+M86*0.08+P86*0.1+Q86*0.05+T86*0.15+U86*0.12+V86*0.09,2)</f>
        <v>7.56</v>
      </c>
    </row>
    <row r="87" customFormat="false" ht="15" hidden="false" customHeight="false" outlineLevel="0" collapsed="false">
      <c r="A87" s="12" t="n">
        <v>84</v>
      </c>
      <c r="B87" s="13" t="s">
        <v>172</v>
      </c>
      <c r="C87" s="13" t="s">
        <v>368</v>
      </c>
      <c r="D87" s="13" t="s">
        <v>369</v>
      </c>
      <c r="E87" s="14" t="s">
        <v>370</v>
      </c>
      <c r="F87" s="15" t="s">
        <v>371</v>
      </c>
      <c r="G87" s="13" t="s">
        <v>372</v>
      </c>
      <c r="H87" s="9" t="s">
        <v>177</v>
      </c>
      <c r="I87" s="12" t="n">
        <v>8.3</v>
      </c>
      <c r="J87" s="12" t="n">
        <v>5</v>
      </c>
      <c r="K87" s="12" t="n">
        <v>6</v>
      </c>
      <c r="L87" s="12" t="n">
        <v>7</v>
      </c>
      <c r="M87" s="12" t="n">
        <v>7</v>
      </c>
      <c r="N87" s="12" t="n">
        <v>2</v>
      </c>
      <c r="O87" s="16" t="n">
        <v>600</v>
      </c>
      <c r="P87" s="12" t="n">
        <v>6</v>
      </c>
      <c r="Q87" s="12" t="n">
        <v>8</v>
      </c>
      <c r="R87" s="13" t="s">
        <v>221</v>
      </c>
      <c r="S87" s="13" t="s">
        <v>221</v>
      </c>
      <c r="T87" s="12" t="n">
        <v>8</v>
      </c>
      <c r="U87" s="12" t="n">
        <v>8</v>
      </c>
      <c r="V87" s="12" t="n">
        <v>7</v>
      </c>
      <c r="W87" s="17" t="n">
        <f aca="false">ROUND(I87*0.15+J87*0.08+K87*0.08+L87*0.1+M87*0.08+P87*0.1+Q87*0.05+T87*0.15+U87*0.12+V87*0.09,2)</f>
        <v>7.18</v>
      </c>
    </row>
    <row r="88" customFormat="false" ht="15" hidden="false" customHeight="false" outlineLevel="0" collapsed="false">
      <c r="A88" s="5" t="n">
        <v>85</v>
      </c>
      <c r="B88" s="6" t="s">
        <v>373</v>
      </c>
      <c r="C88" s="6" t="s">
        <v>374</v>
      </c>
      <c r="D88" s="6" t="s">
        <v>375</v>
      </c>
      <c r="E88" s="7" t="s">
        <v>376</v>
      </c>
      <c r="F88" s="8" t="s">
        <v>377</v>
      </c>
      <c r="G88" s="6" t="s">
        <v>162</v>
      </c>
      <c r="H88" s="18" t="s">
        <v>378</v>
      </c>
      <c r="I88" s="5" t="n">
        <v>9.5</v>
      </c>
      <c r="J88" s="5" t="n">
        <v>7</v>
      </c>
      <c r="K88" s="5" t="n">
        <v>7</v>
      </c>
      <c r="L88" s="5" t="n">
        <v>9</v>
      </c>
      <c r="M88" s="5" t="n">
        <v>9</v>
      </c>
      <c r="N88" s="5" t="n">
        <v>3</v>
      </c>
      <c r="O88" s="10" t="n">
        <v>1200</v>
      </c>
      <c r="P88" s="5" t="n">
        <v>9</v>
      </c>
      <c r="Q88" s="5" t="n">
        <v>8</v>
      </c>
      <c r="R88" s="6" t="s">
        <v>37</v>
      </c>
      <c r="S88" s="5" t="s">
        <v>379</v>
      </c>
      <c r="T88" s="5" t="n">
        <v>9</v>
      </c>
      <c r="U88" s="5" t="n">
        <v>10</v>
      </c>
      <c r="V88" s="5" t="n">
        <v>7</v>
      </c>
      <c r="W88" s="11" t="n">
        <f aca="false">ROUND(I88*0.15+J88*0.08+K88*0.08+L88*0.1+M88*0.08+P88*0.1+Q88*0.05+T88*0.15+U88*0.12+V88*0.09,2)</f>
        <v>8.65</v>
      </c>
    </row>
    <row r="89" customFormat="false" ht="15" hidden="false" customHeight="false" outlineLevel="0" collapsed="false">
      <c r="A89" s="12" t="n">
        <v>86</v>
      </c>
      <c r="B89" s="13" t="s">
        <v>373</v>
      </c>
      <c r="C89" s="13" t="s">
        <v>374</v>
      </c>
      <c r="D89" s="13" t="s">
        <v>380</v>
      </c>
      <c r="E89" s="14" t="s">
        <v>381</v>
      </c>
      <c r="F89" s="15" t="s">
        <v>382</v>
      </c>
      <c r="G89" s="13" t="s">
        <v>383</v>
      </c>
      <c r="H89" s="18" t="s">
        <v>378</v>
      </c>
      <c r="I89" s="12" t="n">
        <v>9.3</v>
      </c>
      <c r="J89" s="12" t="n">
        <v>6</v>
      </c>
      <c r="K89" s="12" t="n">
        <v>5</v>
      </c>
      <c r="L89" s="12" t="n">
        <v>9</v>
      </c>
      <c r="M89" s="12" t="n">
        <v>8</v>
      </c>
      <c r="N89" s="12" t="n">
        <v>8</v>
      </c>
      <c r="O89" s="16" t="n">
        <v>1000</v>
      </c>
      <c r="P89" s="12" t="n">
        <v>7</v>
      </c>
      <c r="Q89" s="12" t="n">
        <v>6</v>
      </c>
      <c r="R89" s="13" t="s">
        <v>77</v>
      </c>
      <c r="S89" s="12" t="s">
        <v>384</v>
      </c>
      <c r="T89" s="12" t="n">
        <v>9</v>
      </c>
      <c r="U89" s="12" t="n">
        <v>8</v>
      </c>
      <c r="V89" s="12" t="n">
        <v>7.5</v>
      </c>
      <c r="W89" s="17" t="n">
        <f aca="false">ROUND(I89*0.15+J89*0.08+K89*0.08+L89*0.1+M89*0.08+P89*0.1+Q89*0.05+T89*0.15+U89*0.12+V89*0.09,2)</f>
        <v>7.8</v>
      </c>
    </row>
    <row r="90" customFormat="false" ht="15" hidden="false" customHeight="false" outlineLevel="0" collapsed="false">
      <c r="A90" s="5" t="n">
        <v>87</v>
      </c>
      <c r="B90" s="6" t="s">
        <v>373</v>
      </c>
      <c r="C90" s="6" t="s">
        <v>374</v>
      </c>
      <c r="D90" s="6" t="s">
        <v>385</v>
      </c>
      <c r="E90" s="7" t="s">
        <v>386</v>
      </c>
      <c r="F90" s="8" t="s">
        <v>387</v>
      </c>
      <c r="G90" s="6" t="s">
        <v>388</v>
      </c>
      <c r="H90" s="18" t="s">
        <v>378</v>
      </c>
      <c r="I90" s="5" t="n">
        <v>9.5</v>
      </c>
      <c r="J90" s="5" t="n">
        <v>7</v>
      </c>
      <c r="K90" s="5" t="n">
        <v>4</v>
      </c>
      <c r="L90" s="5" t="n">
        <v>9</v>
      </c>
      <c r="M90" s="5" t="n">
        <v>8</v>
      </c>
      <c r="N90" s="5" t="n">
        <v>6</v>
      </c>
      <c r="O90" s="10" t="n">
        <v>1500</v>
      </c>
      <c r="P90" s="5" t="n">
        <v>6</v>
      </c>
      <c r="Q90" s="5" t="n">
        <v>6</v>
      </c>
      <c r="R90" s="6" t="s">
        <v>302</v>
      </c>
      <c r="S90" s="5" t="s">
        <v>78</v>
      </c>
      <c r="T90" s="5" t="n">
        <v>10</v>
      </c>
      <c r="U90" s="5" t="n">
        <v>8</v>
      </c>
      <c r="V90" s="5" t="n">
        <v>7</v>
      </c>
      <c r="W90" s="11" t="n">
        <f aca="false">ROUND(I90*0.15+J90*0.08+K90*0.08+L90*0.1+M90*0.08+P90*0.1+Q90*0.05+T90*0.15+U90*0.12+V90*0.09,2)</f>
        <v>7.84</v>
      </c>
    </row>
    <row r="91" customFormat="false" ht="15" hidden="false" customHeight="false" outlineLevel="0" collapsed="false">
      <c r="A91" s="12" t="n">
        <v>88</v>
      </c>
      <c r="B91" s="13" t="s">
        <v>373</v>
      </c>
      <c r="C91" s="13" t="s">
        <v>374</v>
      </c>
      <c r="D91" s="13" t="s">
        <v>389</v>
      </c>
      <c r="E91" s="14" t="s">
        <v>390</v>
      </c>
      <c r="F91" s="15" t="s">
        <v>391</v>
      </c>
      <c r="G91" s="13" t="s">
        <v>392</v>
      </c>
      <c r="H91" s="18" t="s">
        <v>378</v>
      </c>
      <c r="I91" s="12" t="n">
        <v>9.2</v>
      </c>
      <c r="J91" s="12" t="n">
        <v>5</v>
      </c>
      <c r="K91" s="12" t="n">
        <v>4</v>
      </c>
      <c r="L91" s="12" t="n">
        <v>8</v>
      </c>
      <c r="M91" s="12" t="n">
        <v>8</v>
      </c>
      <c r="N91" s="12" t="n">
        <v>4</v>
      </c>
      <c r="O91" s="16" t="n">
        <v>1200</v>
      </c>
      <c r="P91" s="12" t="n">
        <v>4</v>
      </c>
      <c r="Q91" s="12" t="n">
        <v>5</v>
      </c>
      <c r="R91" s="13" t="s">
        <v>123</v>
      </c>
      <c r="S91" s="12" t="s">
        <v>139</v>
      </c>
      <c r="T91" s="12" t="n">
        <v>10</v>
      </c>
      <c r="U91" s="12" t="n">
        <v>7</v>
      </c>
      <c r="V91" s="12" t="n">
        <v>7</v>
      </c>
      <c r="W91" s="17" t="n">
        <f aca="false">ROUND(I91*0.15+J91*0.08+K91*0.08+L91*0.1+M91*0.08+P91*0.1+Q91*0.05+T91*0.15+U91*0.12+V91*0.09,2)</f>
        <v>7.16</v>
      </c>
    </row>
    <row r="92" customFormat="false" ht="15" hidden="false" customHeight="false" outlineLevel="0" collapsed="false">
      <c r="A92" s="5" t="n">
        <v>89</v>
      </c>
      <c r="B92" s="6" t="s">
        <v>373</v>
      </c>
      <c r="C92" s="6" t="s">
        <v>374</v>
      </c>
      <c r="D92" s="6" t="s">
        <v>393</v>
      </c>
      <c r="E92" s="7" t="s">
        <v>394</v>
      </c>
      <c r="F92" s="8" t="s">
        <v>395</v>
      </c>
      <c r="G92" s="6" t="s">
        <v>289</v>
      </c>
      <c r="H92" s="18" t="s">
        <v>378</v>
      </c>
      <c r="I92" s="5" t="n">
        <v>9</v>
      </c>
      <c r="J92" s="5" t="n">
        <v>5</v>
      </c>
      <c r="K92" s="5" t="n">
        <v>4</v>
      </c>
      <c r="L92" s="5" t="n">
        <v>8</v>
      </c>
      <c r="M92" s="5" t="n">
        <v>8</v>
      </c>
      <c r="N92" s="5" t="n">
        <v>7</v>
      </c>
      <c r="O92" s="10" t="n">
        <v>1000</v>
      </c>
      <c r="P92" s="5" t="n">
        <v>5</v>
      </c>
      <c r="Q92" s="5" t="n">
        <v>5</v>
      </c>
      <c r="R92" s="6" t="s">
        <v>53</v>
      </c>
      <c r="S92" s="5" t="s">
        <v>242</v>
      </c>
      <c r="T92" s="5" t="n">
        <v>9</v>
      </c>
      <c r="U92" s="5" t="n">
        <v>7</v>
      </c>
      <c r="V92" s="5" t="n">
        <v>7.5</v>
      </c>
      <c r="W92" s="11" t="n">
        <f aca="false">ROUND(I92*0.15+J92*0.08+K92*0.08+L92*0.1+M92*0.08+P92*0.1+Q92*0.05+T92*0.15+U92*0.12+V92*0.09,2)</f>
        <v>7.13</v>
      </c>
    </row>
    <row r="93" customFormat="false" ht="15" hidden="false" customHeight="false" outlineLevel="0" collapsed="false">
      <c r="A93" s="12" t="n">
        <v>90</v>
      </c>
      <c r="B93" s="13" t="s">
        <v>373</v>
      </c>
      <c r="C93" s="13" t="s">
        <v>374</v>
      </c>
      <c r="D93" s="13" t="s">
        <v>396</v>
      </c>
      <c r="E93" s="14" t="s">
        <v>397</v>
      </c>
      <c r="F93" s="15" t="s">
        <v>398</v>
      </c>
      <c r="G93" s="13" t="s">
        <v>305</v>
      </c>
      <c r="H93" s="18" t="s">
        <v>378</v>
      </c>
      <c r="I93" s="12" t="n">
        <v>8.5</v>
      </c>
      <c r="J93" s="12" t="n">
        <v>8</v>
      </c>
      <c r="K93" s="12" t="n">
        <v>6</v>
      </c>
      <c r="L93" s="12" t="n">
        <v>8</v>
      </c>
      <c r="M93" s="12" t="n">
        <v>7</v>
      </c>
      <c r="N93" s="12" t="n">
        <v>4</v>
      </c>
      <c r="O93" s="16" t="n">
        <v>900</v>
      </c>
      <c r="P93" s="12" t="n">
        <v>7</v>
      </c>
      <c r="Q93" s="12" t="n">
        <v>7</v>
      </c>
      <c r="R93" s="13" t="s">
        <v>95</v>
      </c>
      <c r="S93" s="12" t="s">
        <v>399</v>
      </c>
      <c r="T93" s="12" t="n">
        <v>7</v>
      </c>
      <c r="U93" s="12" t="n">
        <v>9</v>
      </c>
      <c r="V93" s="12" t="n">
        <v>7.5</v>
      </c>
      <c r="W93" s="17" t="n">
        <f aca="false">ROUND(I93*0.15+J93*0.08+K93*0.08+L93*0.1+M93*0.08+P93*0.1+Q93*0.05+T93*0.15+U93*0.12+V93*0.09,2)</f>
        <v>7.61</v>
      </c>
    </row>
    <row r="94" customFormat="false" ht="15" hidden="false" customHeight="false" outlineLevel="0" collapsed="false">
      <c r="A94" s="5" t="n">
        <v>91</v>
      </c>
      <c r="B94" s="6" t="s">
        <v>373</v>
      </c>
      <c r="C94" s="6" t="s">
        <v>374</v>
      </c>
      <c r="D94" s="6" t="s">
        <v>400</v>
      </c>
      <c r="E94" s="7" t="s">
        <v>401</v>
      </c>
      <c r="F94" s="8" t="s">
        <v>402</v>
      </c>
      <c r="G94" s="6" t="s">
        <v>403</v>
      </c>
      <c r="H94" s="18" t="s">
        <v>378</v>
      </c>
      <c r="I94" s="5" t="n">
        <v>8.8</v>
      </c>
      <c r="J94" s="5" t="n">
        <v>5</v>
      </c>
      <c r="K94" s="5" t="n">
        <v>6</v>
      </c>
      <c r="L94" s="5" t="n">
        <v>9</v>
      </c>
      <c r="M94" s="5" t="n">
        <v>7</v>
      </c>
      <c r="N94" s="5" t="n">
        <v>4</v>
      </c>
      <c r="O94" s="10" t="n">
        <v>1000</v>
      </c>
      <c r="P94" s="5" t="n">
        <v>6</v>
      </c>
      <c r="Q94" s="5" t="n">
        <v>7</v>
      </c>
      <c r="R94" s="6" t="s">
        <v>104</v>
      </c>
      <c r="S94" s="5" t="s">
        <v>250</v>
      </c>
      <c r="T94" s="5" t="n">
        <v>8</v>
      </c>
      <c r="U94" s="5" t="n">
        <v>8</v>
      </c>
      <c r="V94" s="5" t="n">
        <v>7.5</v>
      </c>
      <c r="W94" s="11" t="n">
        <f aca="false">ROUND(I94*0.15+J94*0.08+K94*0.08+L94*0.1+M94*0.08+P94*0.1+Q94*0.05+T94*0.15+U94*0.12+V94*0.09,2)</f>
        <v>7.45</v>
      </c>
    </row>
    <row r="95" customFormat="false" ht="15" hidden="false" customHeight="false" outlineLevel="0" collapsed="false">
      <c r="A95" s="12" t="n">
        <v>92</v>
      </c>
      <c r="B95" s="13" t="s">
        <v>373</v>
      </c>
      <c r="C95" s="13" t="s">
        <v>374</v>
      </c>
      <c r="D95" s="13" t="s">
        <v>404</v>
      </c>
      <c r="E95" s="14" t="s">
        <v>405</v>
      </c>
      <c r="F95" s="15" t="s">
        <v>406</v>
      </c>
      <c r="G95" s="13" t="s">
        <v>407</v>
      </c>
      <c r="H95" s="18" t="s">
        <v>378</v>
      </c>
      <c r="I95" s="12" t="n">
        <v>8.5</v>
      </c>
      <c r="J95" s="12" t="n">
        <v>6</v>
      </c>
      <c r="K95" s="12" t="n">
        <v>7</v>
      </c>
      <c r="L95" s="12" t="n">
        <v>7</v>
      </c>
      <c r="M95" s="12" t="n">
        <v>8</v>
      </c>
      <c r="N95" s="12" t="n">
        <v>3</v>
      </c>
      <c r="O95" s="16" t="n">
        <v>800</v>
      </c>
      <c r="P95" s="12" t="n">
        <v>7</v>
      </c>
      <c r="Q95" s="12" t="n">
        <v>8</v>
      </c>
      <c r="R95" s="13" t="s">
        <v>37</v>
      </c>
      <c r="S95" s="12" t="s">
        <v>379</v>
      </c>
      <c r="T95" s="12" t="n">
        <v>8</v>
      </c>
      <c r="U95" s="12" t="n">
        <v>9</v>
      </c>
      <c r="V95" s="12" t="n">
        <v>8.5</v>
      </c>
      <c r="W95" s="17" t="n">
        <f aca="false">ROUND(I95*0.15+J95*0.08+K95*0.08+L95*0.1+M95*0.08+P95*0.1+Q95*0.05+T95*0.15+U95*0.12+V95*0.09,2)</f>
        <v>7.8</v>
      </c>
    </row>
    <row r="96" customFormat="false" ht="15" hidden="false" customHeight="false" outlineLevel="0" collapsed="false">
      <c r="A96" s="5" t="n">
        <v>93</v>
      </c>
      <c r="B96" s="6" t="s">
        <v>373</v>
      </c>
      <c r="C96" s="6" t="s">
        <v>374</v>
      </c>
      <c r="D96" s="6" t="s">
        <v>408</v>
      </c>
      <c r="E96" s="7" t="s">
        <v>409</v>
      </c>
      <c r="F96" s="8" t="s">
        <v>410</v>
      </c>
      <c r="G96" s="6" t="s">
        <v>315</v>
      </c>
      <c r="H96" s="18" t="s">
        <v>378</v>
      </c>
      <c r="I96" s="5" t="n">
        <v>8.8</v>
      </c>
      <c r="J96" s="5" t="n">
        <v>5</v>
      </c>
      <c r="K96" s="5" t="n">
        <v>3</v>
      </c>
      <c r="L96" s="5" t="n">
        <v>7</v>
      </c>
      <c r="M96" s="5" t="n">
        <v>7</v>
      </c>
      <c r="N96" s="5" t="n">
        <v>8</v>
      </c>
      <c r="O96" s="10" t="n">
        <v>1000</v>
      </c>
      <c r="P96" s="5" t="n">
        <v>4</v>
      </c>
      <c r="Q96" s="5" t="n">
        <v>4</v>
      </c>
      <c r="R96" s="6" t="s">
        <v>302</v>
      </c>
      <c r="S96" s="5" t="s">
        <v>411</v>
      </c>
      <c r="T96" s="5" t="n">
        <v>9.5</v>
      </c>
      <c r="U96" s="5" t="n">
        <v>6.5</v>
      </c>
      <c r="V96" s="5" t="n">
        <v>7</v>
      </c>
      <c r="W96" s="11" t="n">
        <f aca="false">ROUND(I96*0.15+J96*0.08+K96*0.08+L96*0.1+M96*0.08+P96*0.1+Q96*0.05+T96*0.15+U96*0.12+V96*0.09,2)</f>
        <v>6.66</v>
      </c>
    </row>
    <row r="97" customFormat="false" ht="15" hidden="false" customHeight="false" outlineLevel="0" collapsed="false">
      <c r="A97" s="12" t="n">
        <v>94</v>
      </c>
      <c r="B97" s="13" t="s">
        <v>373</v>
      </c>
      <c r="C97" s="13" t="s">
        <v>374</v>
      </c>
      <c r="D97" s="13" t="s">
        <v>412</v>
      </c>
      <c r="E97" s="14" t="s">
        <v>413</v>
      </c>
      <c r="F97" s="15" t="s">
        <v>414</v>
      </c>
      <c r="G97" s="13" t="s">
        <v>415</v>
      </c>
      <c r="H97" s="18" t="s">
        <v>378</v>
      </c>
      <c r="I97" s="12" t="n">
        <v>8.8</v>
      </c>
      <c r="J97" s="12" t="n">
        <v>7</v>
      </c>
      <c r="K97" s="12" t="n">
        <v>5</v>
      </c>
      <c r="L97" s="12" t="n">
        <v>8</v>
      </c>
      <c r="M97" s="12" t="n">
        <v>7</v>
      </c>
      <c r="N97" s="12" t="n">
        <v>5</v>
      </c>
      <c r="O97" s="16" t="n">
        <v>1000</v>
      </c>
      <c r="P97" s="12" t="n">
        <v>6</v>
      </c>
      <c r="Q97" s="12" t="n">
        <v>7</v>
      </c>
      <c r="R97" s="13" t="s">
        <v>53</v>
      </c>
      <c r="S97" s="12" t="s">
        <v>84</v>
      </c>
      <c r="T97" s="12" t="n">
        <v>8</v>
      </c>
      <c r="U97" s="12" t="n">
        <v>8</v>
      </c>
      <c r="V97" s="12" t="n">
        <v>7.5</v>
      </c>
      <c r="W97" s="17" t="n">
        <f aca="false">ROUND(I97*0.15+J97*0.08+K97*0.08+L97*0.1+M97*0.08+P97*0.1+Q97*0.05+T97*0.15+U97*0.12+V97*0.09,2)</f>
        <v>7.43</v>
      </c>
    </row>
    <row r="98" customFormat="false" ht="15" hidden="false" customHeight="false" outlineLevel="0" collapsed="false">
      <c r="A98" s="5" t="n">
        <v>95</v>
      </c>
      <c r="B98" s="6" t="s">
        <v>373</v>
      </c>
      <c r="C98" s="6" t="s">
        <v>374</v>
      </c>
      <c r="D98" s="6" t="s">
        <v>375</v>
      </c>
      <c r="E98" s="7" t="s">
        <v>416</v>
      </c>
      <c r="F98" s="8" t="s">
        <v>417</v>
      </c>
      <c r="G98" s="6" t="s">
        <v>52</v>
      </c>
      <c r="H98" s="18" t="s">
        <v>378</v>
      </c>
      <c r="I98" s="5" t="n">
        <v>8.8</v>
      </c>
      <c r="J98" s="5" t="n">
        <v>6</v>
      </c>
      <c r="K98" s="5" t="n">
        <v>5</v>
      </c>
      <c r="L98" s="5" t="n">
        <v>8</v>
      </c>
      <c r="M98" s="5" t="n">
        <v>8</v>
      </c>
      <c r="N98" s="5" t="n">
        <v>6</v>
      </c>
      <c r="O98" s="10" t="n">
        <v>900</v>
      </c>
      <c r="P98" s="5" t="n">
        <v>8</v>
      </c>
      <c r="Q98" s="5" t="n">
        <v>7</v>
      </c>
      <c r="R98" s="6" t="s">
        <v>37</v>
      </c>
      <c r="S98" s="5" t="s">
        <v>379</v>
      </c>
      <c r="T98" s="5" t="n">
        <v>8.5</v>
      </c>
      <c r="U98" s="5" t="n">
        <v>8</v>
      </c>
      <c r="V98" s="5" t="n">
        <v>8</v>
      </c>
      <c r="W98" s="11" t="n">
        <f aca="false">ROUND(I98*0.15+J98*0.08+K98*0.08+L98*0.1+M98*0.08+P98*0.1+Q98*0.05+T98*0.15+U98*0.12+V98*0.09,2)</f>
        <v>7.75</v>
      </c>
    </row>
    <row r="99" customFormat="false" ht="15" hidden="false" customHeight="false" outlineLevel="0" collapsed="false">
      <c r="A99" s="12" t="n">
        <v>96</v>
      </c>
      <c r="B99" s="13" t="s">
        <v>373</v>
      </c>
      <c r="C99" s="13" t="s">
        <v>374</v>
      </c>
      <c r="D99" s="13" t="s">
        <v>418</v>
      </c>
      <c r="E99" s="14" t="s">
        <v>419</v>
      </c>
      <c r="F99" s="15" t="s">
        <v>420</v>
      </c>
      <c r="G99" s="13" t="s">
        <v>421</v>
      </c>
      <c r="H99" s="18" t="s">
        <v>378</v>
      </c>
      <c r="I99" s="12" t="n">
        <v>9.5</v>
      </c>
      <c r="J99" s="12" t="n">
        <v>6</v>
      </c>
      <c r="K99" s="12" t="n">
        <v>3</v>
      </c>
      <c r="L99" s="12" t="n">
        <v>10</v>
      </c>
      <c r="M99" s="12" t="n">
        <v>7</v>
      </c>
      <c r="N99" s="12" t="n">
        <v>5</v>
      </c>
      <c r="O99" s="16" t="n">
        <v>1500</v>
      </c>
      <c r="P99" s="12" t="n">
        <v>5</v>
      </c>
      <c r="Q99" s="12" t="n">
        <v>5</v>
      </c>
      <c r="R99" s="13" t="s">
        <v>302</v>
      </c>
      <c r="S99" s="12" t="s">
        <v>411</v>
      </c>
      <c r="T99" s="12" t="n">
        <v>9</v>
      </c>
      <c r="U99" s="12" t="n">
        <v>7</v>
      </c>
      <c r="V99" s="12" t="n">
        <v>7</v>
      </c>
      <c r="W99" s="17" t="n">
        <f aca="false">ROUND(I99*0.15+J99*0.08+K99*0.08+L99*0.1+M99*0.08+P99*0.1+Q99*0.05+T99*0.15+U99*0.12+V99*0.09,2)</f>
        <v>7.28</v>
      </c>
    </row>
    <row r="100" customFormat="false" ht="15" hidden="false" customHeight="false" outlineLevel="0" collapsed="false">
      <c r="A100" s="5" t="n">
        <v>97</v>
      </c>
      <c r="B100" s="6" t="s">
        <v>373</v>
      </c>
      <c r="C100" s="6" t="s">
        <v>422</v>
      </c>
      <c r="D100" s="6" t="s">
        <v>423</v>
      </c>
      <c r="E100" s="7" t="s">
        <v>424</v>
      </c>
      <c r="F100" s="8" t="s">
        <v>425</v>
      </c>
      <c r="G100" s="6" t="s">
        <v>289</v>
      </c>
      <c r="H100" s="18" t="s">
        <v>426</v>
      </c>
      <c r="I100" s="5" t="n">
        <v>9.5</v>
      </c>
      <c r="J100" s="5" t="n">
        <v>6</v>
      </c>
      <c r="K100" s="5" t="n">
        <v>4</v>
      </c>
      <c r="L100" s="5" t="n">
        <v>10</v>
      </c>
      <c r="M100" s="5" t="n">
        <v>8</v>
      </c>
      <c r="N100" s="5" t="n">
        <v>8</v>
      </c>
      <c r="O100" s="10" t="n">
        <v>1200</v>
      </c>
      <c r="P100" s="5" t="n">
        <v>6</v>
      </c>
      <c r="Q100" s="5" t="n">
        <v>6</v>
      </c>
      <c r="R100" s="6" t="s">
        <v>77</v>
      </c>
      <c r="S100" s="5" t="s">
        <v>189</v>
      </c>
      <c r="T100" s="5" t="n">
        <v>10</v>
      </c>
      <c r="U100" s="5" t="n">
        <v>9</v>
      </c>
      <c r="V100" s="5" t="n">
        <v>7.5</v>
      </c>
      <c r="W100" s="11" t="n">
        <f aca="false">ROUND(I100*0.15+J100*0.08+K100*0.08+L100*0.1+M100*0.08+P100*0.1+Q100*0.05+T100*0.15+U100*0.12+V100*0.09,2)</f>
        <v>8.02</v>
      </c>
    </row>
    <row r="101" customFormat="false" ht="15" hidden="false" customHeight="false" outlineLevel="0" collapsed="false">
      <c r="A101" s="12" t="n">
        <v>98</v>
      </c>
      <c r="B101" s="13" t="s">
        <v>373</v>
      </c>
      <c r="C101" s="13" t="s">
        <v>422</v>
      </c>
      <c r="D101" s="13" t="s">
        <v>427</v>
      </c>
      <c r="E101" s="14" t="s">
        <v>428</v>
      </c>
      <c r="F101" s="15" t="s">
        <v>429</v>
      </c>
      <c r="G101" s="13" t="s">
        <v>430</v>
      </c>
      <c r="H101" s="18" t="s">
        <v>426</v>
      </c>
      <c r="I101" s="12" t="n">
        <v>8.8</v>
      </c>
      <c r="J101" s="12" t="n">
        <v>8</v>
      </c>
      <c r="K101" s="12" t="n">
        <v>6</v>
      </c>
      <c r="L101" s="12" t="n">
        <v>7</v>
      </c>
      <c r="M101" s="12" t="n">
        <v>7</v>
      </c>
      <c r="N101" s="12" t="n">
        <v>4</v>
      </c>
      <c r="O101" s="16" t="n">
        <v>900</v>
      </c>
      <c r="P101" s="12" t="n">
        <v>7</v>
      </c>
      <c r="Q101" s="12" t="n">
        <v>7</v>
      </c>
      <c r="R101" s="13" t="s">
        <v>32</v>
      </c>
      <c r="S101" s="13" t="s">
        <v>221</v>
      </c>
      <c r="T101" s="12" t="n">
        <v>8.5</v>
      </c>
      <c r="U101" s="12" t="n">
        <v>8.5</v>
      </c>
      <c r="V101" s="12" t="n">
        <v>8</v>
      </c>
      <c r="W101" s="17" t="n">
        <f aca="false">ROUND(I101*0.15+J101*0.08+K101*0.08+L101*0.1+M101*0.08+P101*0.1+Q101*0.05+T101*0.15+U101*0.12+V101*0.09,2)</f>
        <v>7.77</v>
      </c>
    </row>
    <row r="102" customFormat="false" ht="15" hidden="false" customHeight="false" outlineLevel="0" collapsed="false">
      <c r="A102" s="5" t="n">
        <v>99</v>
      </c>
      <c r="B102" s="6" t="s">
        <v>373</v>
      </c>
      <c r="C102" s="6" t="s">
        <v>422</v>
      </c>
      <c r="D102" s="6" t="s">
        <v>431</v>
      </c>
      <c r="E102" s="7" t="s">
        <v>432</v>
      </c>
      <c r="F102" s="8" t="s">
        <v>433</v>
      </c>
      <c r="G102" s="6" t="s">
        <v>434</v>
      </c>
      <c r="H102" s="18" t="s">
        <v>426</v>
      </c>
      <c r="I102" s="5" t="n">
        <v>8.5</v>
      </c>
      <c r="J102" s="5" t="n">
        <v>6</v>
      </c>
      <c r="K102" s="5" t="n">
        <v>6</v>
      </c>
      <c r="L102" s="5" t="n">
        <v>9</v>
      </c>
      <c r="M102" s="5" t="n">
        <v>7</v>
      </c>
      <c r="N102" s="5" t="n">
        <v>4</v>
      </c>
      <c r="O102" s="10" t="n">
        <v>1000</v>
      </c>
      <c r="P102" s="5" t="n">
        <v>7</v>
      </c>
      <c r="Q102" s="5" t="n">
        <v>7</v>
      </c>
      <c r="R102" s="6" t="s">
        <v>53</v>
      </c>
      <c r="S102" s="5" t="s">
        <v>178</v>
      </c>
      <c r="T102" s="5" t="n">
        <v>7.5</v>
      </c>
      <c r="U102" s="5" t="n">
        <v>8</v>
      </c>
      <c r="V102" s="5" t="n">
        <v>7.5</v>
      </c>
      <c r="W102" s="11" t="n">
        <f aca="false">ROUND(I102*0.15+J102*0.08+K102*0.08+L102*0.1+M102*0.08+P102*0.1+Q102*0.05+T102*0.15+U102*0.12+V102*0.09,2)</f>
        <v>7.51</v>
      </c>
    </row>
    <row r="103" customFormat="false" ht="15" hidden="false" customHeight="false" outlineLevel="0" collapsed="false">
      <c r="A103" s="12" t="n">
        <v>100</v>
      </c>
      <c r="B103" s="13" t="s">
        <v>373</v>
      </c>
      <c r="C103" s="13" t="s">
        <v>422</v>
      </c>
      <c r="D103" s="13" t="s">
        <v>435</v>
      </c>
      <c r="E103" s="14" t="s">
        <v>436</v>
      </c>
      <c r="F103" s="15" t="s">
        <v>437</v>
      </c>
      <c r="G103" s="13" t="s">
        <v>52</v>
      </c>
      <c r="H103" s="18" t="s">
        <v>426</v>
      </c>
      <c r="I103" s="12" t="n">
        <v>9.3</v>
      </c>
      <c r="J103" s="12" t="n">
        <v>4</v>
      </c>
      <c r="K103" s="12" t="n">
        <v>3</v>
      </c>
      <c r="L103" s="12" t="n">
        <v>9</v>
      </c>
      <c r="M103" s="12" t="n">
        <v>8</v>
      </c>
      <c r="N103" s="12" t="n">
        <v>7</v>
      </c>
      <c r="O103" s="16" t="n">
        <v>1000</v>
      </c>
      <c r="P103" s="12" t="n">
        <v>5</v>
      </c>
      <c r="Q103" s="12" t="n">
        <v>5</v>
      </c>
      <c r="R103" s="13" t="s">
        <v>53</v>
      </c>
      <c r="S103" s="12" t="s">
        <v>178</v>
      </c>
      <c r="T103" s="12" t="n">
        <v>9.5</v>
      </c>
      <c r="U103" s="12" t="n">
        <v>7.5</v>
      </c>
      <c r="V103" s="12" t="n">
        <v>7.5</v>
      </c>
      <c r="W103" s="17" t="n">
        <f aca="false">ROUND(I103*0.15+J103*0.08+K103*0.08+L103*0.1+M103*0.08+P103*0.1+Q103*0.05+T103*0.15+U103*0.12+V103*0.09,2)</f>
        <v>7.25</v>
      </c>
    </row>
    <row r="104" customFormat="false" ht="15" hidden="false" customHeight="false" outlineLevel="0" collapsed="false">
      <c r="A104" s="5" t="n">
        <v>101</v>
      </c>
      <c r="B104" s="6" t="s">
        <v>373</v>
      </c>
      <c r="C104" s="6" t="s">
        <v>422</v>
      </c>
      <c r="D104" s="6" t="s">
        <v>435</v>
      </c>
      <c r="E104" s="7" t="s">
        <v>438</v>
      </c>
      <c r="F104" s="8" t="s">
        <v>439</v>
      </c>
      <c r="G104" s="6" t="s">
        <v>440</v>
      </c>
      <c r="H104" s="18" t="s">
        <v>426</v>
      </c>
      <c r="I104" s="5" t="n">
        <v>9.3</v>
      </c>
      <c r="J104" s="5" t="n">
        <v>6</v>
      </c>
      <c r="K104" s="5" t="n">
        <v>5</v>
      </c>
      <c r="L104" s="5" t="n">
        <v>10</v>
      </c>
      <c r="M104" s="5" t="n">
        <v>8</v>
      </c>
      <c r="N104" s="5" t="n">
        <v>4</v>
      </c>
      <c r="O104" s="10" t="n">
        <v>1000</v>
      </c>
      <c r="P104" s="5" t="n">
        <v>5</v>
      </c>
      <c r="Q104" s="5" t="n">
        <v>6</v>
      </c>
      <c r="R104" s="6" t="s">
        <v>77</v>
      </c>
      <c r="S104" s="5" t="s">
        <v>189</v>
      </c>
      <c r="T104" s="5" t="n">
        <v>9</v>
      </c>
      <c r="U104" s="5" t="n">
        <v>7.5</v>
      </c>
      <c r="V104" s="5" t="n">
        <v>7.5</v>
      </c>
      <c r="W104" s="11" t="n">
        <f aca="false">ROUND(I104*0.15+J104*0.08+K104*0.08+L104*0.1+M104*0.08+P104*0.1+Q104*0.05+T104*0.15+U104*0.12+V104*0.09,2)</f>
        <v>7.64</v>
      </c>
    </row>
    <row r="105" customFormat="false" ht="15" hidden="false" customHeight="false" outlineLevel="0" collapsed="false">
      <c r="A105" s="12" t="n">
        <v>102</v>
      </c>
      <c r="B105" s="13" t="s">
        <v>373</v>
      </c>
      <c r="C105" s="13" t="s">
        <v>422</v>
      </c>
      <c r="D105" s="13" t="s">
        <v>441</v>
      </c>
      <c r="E105" s="14" t="s">
        <v>442</v>
      </c>
      <c r="F105" s="15" t="s">
        <v>443</v>
      </c>
      <c r="G105" s="13" t="s">
        <v>444</v>
      </c>
      <c r="H105" s="18" t="s">
        <v>426</v>
      </c>
      <c r="I105" s="12" t="n">
        <v>8.8</v>
      </c>
      <c r="J105" s="12" t="n">
        <v>8</v>
      </c>
      <c r="K105" s="12" t="n">
        <v>6</v>
      </c>
      <c r="L105" s="12" t="n">
        <v>8</v>
      </c>
      <c r="M105" s="12" t="n">
        <v>7</v>
      </c>
      <c r="N105" s="12" t="n">
        <v>3</v>
      </c>
      <c r="O105" s="16" t="n">
        <v>1000</v>
      </c>
      <c r="P105" s="12" t="n">
        <v>7</v>
      </c>
      <c r="Q105" s="12" t="n">
        <v>7</v>
      </c>
      <c r="R105" s="13" t="s">
        <v>53</v>
      </c>
      <c r="S105" s="12" t="s">
        <v>178</v>
      </c>
      <c r="T105" s="12" t="n">
        <v>7.5</v>
      </c>
      <c r="U105" s="12" t="n">
        <v>8.5</v>
      </c>
      <c r="V105" s="12" t="n">
        <v>7.5</v>
      </c>
      <c r="W105" s="17" t="n">
        <f aca="false">ROUND(I105*0.15+J105*0.08+K105*0.08+L105*0.1+M105*0.08+P105*0.1+Q105*0.05+T105*0.15+U105*0.12+V105*0.09,2)</f>
        <v>7.67</v>
      </c>
    </row>
    <row r="106" customFormat="false" ht="15" hidden="false" customHeight="false" outlineLevel="0" collapsed="false">
      <c r="A106" s="5" t="n">
        <v>103</v>
      </c>
      <c r="B106" s="6" t="s">
        <v>373</v>
      </c>
      <c r="C106" s="6" t="s">
        <v>422</v>
      </c>
      <c r="D106" s="6" t="s">
        <v>435</v>
      </c>
      <c r="E106" s="7" t="s">
        <v>445</v>
      </c>
      <c r="F106" s="8" t="s">
        <v>446</v>
      </c>
      <c r="G106" s="6" t="s">
        <v>447</v>
      </c>
      <c r="H106" s="18" t="s">
        <v>426</v>
      </c>
      <c r="I106" s="5" t="n">
        <v>9</v>
      </c>
      <c r="J106" s="5" t="n">
        <v>4</v>
      </c>
      <c r="K106" s="5" t="n">
        <v>2</v>
      </c>
      <c r="L106" s="5" t="n">
        <v>8</v>
      </c>
      <c r="M106" s="5" t="n">
        <v>7</v>
      </c>
      <c r="N106" s="5" t="n">
        <v>5</v>
      </c>
      <c r="O106" s="10" t="n">
        <v>1200</v>
      </c>
      <c r="P106" s="5" t="n">
        <v>5</v>
      </c>
      <c r="Q106" s="5" t="n">
        <v>4</v>
      </c>
      <c r="R106" s="6" t="s">
        <v>53</v>
      </c>
      <c r="S106" s="5" t="s">
        <v>178</v>
      </c>
      <c r="T106" s="5" t="n">
        <v>9</v>
      </c>
      <c r="U106" s="5" t="n">
        <v>7</v>
      </c>
      <c r="V106" s="5" t="n">
        <v>7.5</v>
      </c>
      <c r="W106" s="11" t="n">
        <f aca="false">ROUND(I106*0.15+J106*0.08+K106*0.08+L106*0.1+M106*0.08+P106*0.1+Q106*0.05+T106*0.15+U106*0.12+V106*0.09,2)</f>
        <v>6.76</v>
      </c>
    </row>
    <row r="107" customFormat="false" ht="15" hidden="false" customHeight="false" outlineLevel="0" collapsed="false">
      <c r="A107" s="12" t="n">
        <v>104</v>
      </c>
      <c r="B107" s="13" t="s">
        <v>373</v>
      </c>
      <c r="C107" s="13" t="s">
        <v>422</v>
      </c>
      <c r="D107" s="13" t="s">
        <v>448</v>
      </c>
      <c r="E107" s="14" t="s">
        <v>449</v>
      </c>
      <c r="F107" s="15" t="s">
        <v>450</v>
      </c>
      <c r="G107" s="13" t="s">
        <v>451</v>
      </c>
      <c r="H107" s="18" t="s">
        <v>426</v>
      </c>
      <c r="I107" s="12" t="n">
        <v>9</v>
      </c>
      <c r="J107" s="12" t="n">
        <v>3</v>
      </c>
      <c r="K107" s="12" t="n">
        <v>2</v>
      </c>
      <c r="L107" s="12" t="n">
        <v>8</v>
      </c>
      <c r="M107" s="12" t="n">
        <v>8</v>
      </c>
      <c r="N107" s="12" t="n">
        <v>8</v>
      </c>
      <c r="O107" s="16" t="n">
        <v>800</v>
      </c>
      <c r="P107" s="12" t="n">
        <v>5</v>
      </c>
      <c r="Q107" s="12" t="n">
        <v>5</v>
      </c>
      <c r="R107" s="13" t="s">
        <v>53</v>
      </c>
      <c r="S107" s="12" t="s">
        <v>189</v>
      </c>
      <c r="T107" s="12" t="n">
        <v>9.5</v>
      </c>
      <c r="U107" s="12" t="n">
        <v>7</v>
      </c>
      <c r="V107" s="12" t="n">
        <v>8</v>
      </c>
      <c r="W107" s="17" t="n">
        <f aca="false">ROUND(I107*0.15+J107*0.08+K107*0.08+L107*0.1+M107*0.08+P107*0.1+Q107*0.05+T107*0.15+U107*0.12+V107*0.09,2)</f>
        <v>6.93</v>
      </c>
    </row>
    <row r="108" customFormat="false" ht="15" hidden="false" customHeight="false" outlineLevel="0" collapsed="false">
      <c r="A108" s="5" t="n">
        <v>105</v>
      </c>
      <c r="B108" s="6" t="s">
        <v>452</v>
      </c>
      <c r="C108" s="6" t="s">
        <v>453</v>
      </c>
      <c r="D108" s="6" t="s">
        <v>454</v>
      </c>
      <c r="E108" s="7" t="s">
        <v>455</v>
      </c>
      <c r="F108" s="8" t="s">
        <v>456</v>
      </c>
      <c r="G108" s="6" t="s">
        <v>457</v>
      </c>
      <c r="H108" s="9" t="s">
        <v>177</v>
      </c>
      <c r="I108" s="5" t="n">
        <v>9.3</v>
      </c>
      <c r="J108" s="5" t="n">
        <v>8</v>
      </c>
      <c r="K108" s="5" t="n">
        <v>6</v>
      </c>
      <c r="L108" s="5" t="n">
        <v>9</v>
      </c>
      <c r="M108" s="5" t="n">
        <v>8</v>
      </c>
      <c r="N108" s="5" t="n">
        <v>3</v>
      </c>
      <c r="O108" s="10" t="n">
        <v>1500</v>
      </c>
      <c r="P108" s="5" t="n">
        <v>9</v>
      </c>
      <c r="Q108" s="5" t="n">
        <v>8</v>
      </c>
      <c r="R108" s="6" t="s">
        <v>182</v>
      </c>
      <c r="S108" s="5" t="s">
        <v>124</v>
      </c>
      <c r="T108" s="5" t="n">
        <v>8.5</v>
      </c>
      <c r="U108" s="5" t="n">
        <v>10</v>
      </c>
      <c r="V108" s="5" t="n">
        <v>6.5</v>
      </c>
      <c r="W108" s="11" t="n">
        <f aca="false">ROUND(I108*0.15+J108*0.08+K108*0.08+L108*0.1+M108*0.08+P108*0.1+Q108*0.05+T108*0.15+U108*0.12+V108*0.09,2)</f>
        <v>8.42</v>
      </c>
    </row>
    <row r="109" customFormat="false" ht="15" hidden="false" customHeight="false" outlineLevel="0" collapsed="false">
      <c r="A109" s="12" t="n">
        <v>106</v>
      </c>
      <c r="B109" s="13" t="s">
        <v>452</v>
      </c>
      <c r="C109" s="13" t="s">
        <v>453</v>
      </c>
      <c r="D109" s="13" t="s">
        <v>454</v>
      </c>
      <c r="E109" s="14" t="s">
        <v>458</v>
      </c>
      <c r="F109" s="15" t="s">
        <v>459</v>
      </c>
      <c r="G109" s="13" t="s">
        <v>460</v>
      </c>
      <c r="H109" s="9" t="s">
        <v>177</v>
      </c>
      <c r="I109" s="12" t="n">
        <v>9</v>
      </c>
      <c r="J109" s="12" t="n">
        <v>7</v>
      </c>
      <c r="K109" s="12" t="n">
        <v>5</v>
      </c>
      <c r="L109" s="12" t="n">
        <v>10</v>
      </c>
      <c r="M109" s="12" t="n">
        <v>7</v>
      </c>
      <c r="N109" s="12" t="n">
        <v>3</v>
      </c>
      <c r="O109" s="16" t="n">
        <v>2000</v>
      </c>
      <c r="P109" s="12" t="n">
        <v>9</v>
      </c>
      <c r="Q109" s="12" t="n">
        <v>7</v>
      </c>
      <c r="R109" s="13" t="s">
        <v>182</v>
      </c>
      <c r="S109" s="12" t="s">
        <v>124</v>
      </c>
      <c r="T109" s="12" t="n">
        <v>8</v>
      </c>
      <c r="U109" s="12" t="n">
        <v>10</v>
      </c>
      <c r="V109" s="12" t="n">
        <v>5.5</v>
      </c>
      <c r="W109" s="17" t="n">
        <f aca="false">ROUND(I109*0.15+J109*0.08+K109*0.08+L109*0.1+M109*0.08+P109*0.1+Q109*0.05+T109*0.15+U109*0.12+V109*0.09,2)</f>
        <v>8.02</v>
      </c>
    </row>
    <row r="110" customFormat="false" ht="15" hidden="false" customHeight="false" outlineLevel="0" collapsed="false">
      <c r="A110" s="5" t="n">
        <v>107</v>
      </c>
      <c r="B110" s="6" t="s">
        <v>452</v>
      </c>
      <c r="C110" s="6" t="s">
        <v>453</v>
      </c>
      <c r="D110" s="6" t="s">
        <v>461</v>
      </c>
      <c r="E110" s="7" t="s">
        <v>462</v>
      </c>
      <c r="F110" s="8" t="s">
        <v>463</v>
      </c>
      <c r="G110" s="6" t="s">
        <v>372</v>
      </c>
      <c r="H110" s="9" t="s">
        <v>177</v>
      </c>
      <c r="I110" s="5" t="n">
        <v>9.5</v>
      </c>
      <c r="J110" s="5" t="n">
        <v>6</v>
      </c>
      <c r="K110" s="5" t="n">
        <v>6</v>
      </c>
      <c r="L110" s="5" t="n">
        <v>9</v>
      </c>
      <c r="M110" s="5" t="n">
        <v>9</v>
      </c>
      <c r="N110" s="5" t="n">
        <v>2</v>
      </c>
      <c r="O110" s="10" t="n">
        <v>1200</v>
      </c>
      <c r="P110" s="5" t="n">
        <v>8</v>
      </c>
      <c r="Q110" s="5" t="n">
        <v>8</v>
      </c>
      <c r="R110" s="6" t="s">
        <v>182</v>
      </c>
      <c r="S110" s="5" t="s">
        <v>124</v>
      </c>
      <c r="T110" s="5" t="n">
        <v>9.5</v>
      </c>
      <c r="U110" s="5" t="n">
        <v>10</v>
      </c>
      <c r="V110" s="5" t="n">
        <v>8</v>
      </c>
      <c r="W110" s="11" t="n">
        <f aca="false">ROUND(I110*0.15+J110*0.08+K110*0.08+L110*0.1+M110*0.08+P110*0.1+Q110*0.05+T110*0.15+U110*0.12+V110*0.09,2)</f>
        <v>8.55</v>
      </c>
    </row>
    <row r="111" customFormat="false" ht="15" hidden="false" customHeight="false" outlineLevel="0" collapsed="false">
      <c r="A111" s="12" t="n">
        <v>108</v>
      </c>
      <c r="B111" s="13" t="s">
        <v>452</v>
      </c>
      <c r="C111" s="13" t="s">
        <v>453</v>
      </c>
      <c r="D111" s="13" t="s">
        <v>461</v>
      </c>
      <c r="E111" s="14" t="s">
        <v>464</v>
      </c>
      <c r="F111" s="15" t="s">
        <v>465</v>
      </c>
      <c r="G111" s="13" t="s">
        <v>466</v>
      </c>
      <c r="H111" s="9" t="s">
        <v>177</v>
      </c>
      <c r="I111" s="12" t="n">
        <v>9</v>
      </c>
      <c r="J111" s="12" t="n">
        <v>7</v>
      </c>
      <c r="K111" s="12" t="n">
        <v>7</v>
      </c>
      <c r="L111" s="12" t="n">
        <v>8</v>
      </c>
      <c r="M111" s="12" t="n">
        <v>9</v>
      </c>
      <c r="N111" s="12" t="n">
        <v>3</v>
      </c>
      <c r="O111" s="16" t="n">
        <v>1200</v>
      </c>
      <c r="P111" s="12" t="n">
        <v>8</v>
      </c>
      <c r="Q111" s="12" t="n">
        <v>8</v>
      </c>
      <c r="R111" s="13" t="s">
        <v>182</v>
      </c>
      <c r="S111" s="12" t="s">
        <v>124</v>
      </c>
      <c r="T111" s="12" t="n">
        <v>9</v>
      </c>
      <c r="U111" s="12" t="n">
        <v>10</v>
      </c>
      <c r="V111" s="12" t="n">
        <v>7.5</v>
      </c>
      <c r="W111" s="17" t="n">
        <f aca="false">ROUND(I111*0.15+J111*0.08+K111*0.08+L111*0.1+M111*0.08+P111*0.1+Q111*0.05+T111*0.15+U111*0.12+V111*0.09,2)</f>
        <v>8.42</v>
      </c>
    </row>
    <row r="112" customFormat="false" ht="15" hidden="false" customHeight="false" outlineLevel="0" collapsed="false">
      <c r="A112" s="5" t="n">
        <v>109</v>
      </c>
      <c r="B112" s="6" t="s">
        <v>452</v>
      </c>
      <c r="C112" s="6" t="s">
        <v>453</v>
      </c>
      <c r="D112" s="6" t="s">
        <v>454</v>
      </c>
      <c r="E112" s="7" t="s">
        <v>467</v>
      </c>
      <c r="F112" s="8" t="s">
        <v>468</v>
      </c>
      <c r="G112" s="6" t="s">
        <v>469</v>
      </c>
      <c r="H112" s="9" t="s">
        <v>177</v>
      </c>
      <c r="I112" s="5" t="n">
        <v>8.8</v>
      </c>
      <c r="J112" s="5" t="n">
        <v>6</v>
      </c>
      <c r="K112" s="5" t="n">
        <v>4</v>
      </c>
      <c r="L112" s="5" t="n">
        <v>9</v>
      </c>
      <c r="M112" s="5" t="n">
        <v>7</v>
      </c>
      <c r="N112" s="5" t="n">
        <v>4</v>
      </c>
      <c r="O112" s="10" t="n">
        <v>1200</v>
      </c>
      <c r="P112" s="5" t="n">
        <v>7</v>
      </c>
      <c r="Q112" s="5" t="n">
        <v>5</v>
      </c>
      <c r="R112" s="6" t="s">
        <v>182</v>
      </c>
      <c r="S112" s="5" t="s">
        <v>84</v>
      </c>
      <c r="T112" s="5" t="n">
        <v>8</v>
      </c>
      <c r="U112" s="5" t="n">
        <v>8.5</v>
      </c>
      <c r="V112" s="5" t="n">
        <v>7</v>
      </c>
      <c r="W112" s="11" t="n">
        <f aca="false">ROUND(I112*0.15+J112*0.08+K112*0.08+L112*0.1+M112*0.08+P112*0.1+Q112*0.05+T112*0.15+U112*0.12+V112*0.09,2)</f>
        <v>7.38</v>
      </c>
    </row>
    <row r="113" customFormat="false" ht="15" hidden="false" customHeight="false" outlineLevel="0" collapsed="false">
      <c r="A113" s="12" t="n">
        <v>110</v>
      </c>
      <c r="B113" s="13" t="s">
        <v>452</v>
      </c>
      <c r="C113" s="13" t="s">
        <v>470</v>
      </c>
      <c r="D113" s="13" t="s">
        <v>471</v>
      </c>
      <c r="E113" s="14" t="s">
        <v>472</v>
      </c>
      <c r="F113" s="15" t="s">
        <v>473</v>
      </c>
      <c r="G113" s="13" t="s">
        <v>30</v>
      </c>
      <c r="H113" s="9" t="s">
        <v>474</v>
      </c>
      <c r="I113" s="12" t="n">
        <v>9.5</v>
      </c>
      <c r="J113" s="12" t="n">
        <v>6</v>
      </c>
      <c r="K113" s="12" t="n">
        <v>6</v>
      </c>
      <c r="L113" s="12" t="n">
        <v>9</v>
      </c>
      <c r="M113" s="12" t="n">
        <v>9</v>
      </c>
      <c r="N113" s="12" t="n">
        <v>5</v>
      </c>
      <c r="O113" s="16" t="n">
        <v>600</v>
      </c>
      <c r="P113" s="12" t="n">
        <v>9</v>
      </c>
      <c r="Q113" s="12" t="n">
        <v>7</v>
      </c>
      <c r="R113" s="13" t="s">
        <v>37</v>
      </c>
      <c r="S113" s="12" t="s">
        <v>475</v>
      </c>
      <c r="T113" s="12" t="n">
        <v>10</v>
      </c>
      <c r="U113" s="12" t="n">
        <v>9</v>
      </c>
      <c r="V113" s="12" t="n">
        <v>8.5</v>
      </c>
      <c r="W113" s="17" t="n">
        <f aca="false">ROUND(I113*0.15+J113*0.08+K113*0.08+L113*0.1+M113*0.08+P113*0.1+Q113*0.05+T113*0.15+U113*0.12+V113*0.09,2)</f>
        <v>8.6</v>
      </c>
    </row>
    <row r="114" customFormat="false" ht="15" hidden="false" customHeight="false" outlineLevel="0" collapsed="false">
      <c r="A114" s="5" t="n">
        <v>111</v>
      </c>
      <c r="B114" s="6" t="s">
        <v>452</v>
      </c>
      <c r="C114" s="6" t="s">
        <v>470</v>
      </c>
      <c r="D114" s="6" t="s">
        <v>476</v>
      </c>
      <c r="E114" s="7" t="s">
        <v>477</v>
      </c>
      <c r="F114" s="8" t="s">
        <v>478</v>
      </c>
      <c r="G114" s="6" t="s">
        <v>138</v>
      </c>
      <c r="H114" s="9" t="s">
        <v>474</v>
      </c>
      <c r="I114" s="5" t="n">
        <v>9.5</v>
      </c>
      <c r="J114" s="5" t="n">
        <v>6</v>
      </c>
      <c r="K114" s="5" t="n">
        <v>4</v>
      </c>
      <c r="L114" s="5" t="n">
        <v>10</v>
      </c>
      <c r="M114" s="5" t="n">
        <v>8</v>
      </c>
      <c r="N114" s="5" t="n">
        <v>6</v>
      </c>
      <c r="O114" s="10" t="n">
        <v>600</v>
      </c>
      <c r="P114" s="5" t="n">
        <v>6</v>
      </c>
      <c r="Q114" s="5" t="n">
        <v>5</v>
      </c>
      <c r="R114" s="6" t="s">
        <v>37</v>
      </c>
      <c r="S114" s="5" t="s">
        <v>479</v>
      </c>
      <c r="T114" s="5" t="n">
        <v>10</v>
      </c>
      <c r="U114" s="5" t="n">
        <v>8</v>
      </c>
      <c r="V114" s="5" t="n">
        <v>8</v>
      </c>
      <c r="W114" s="11" t="n">
        <f aca="false">ROUND(I114*0.15+J114*0.08+K114*0.08+L114*0.1+M114*0.08+P114*0.1+Q114*0.05+T114*0.15+U114*0.12+V114*0.09,2)</f>
        <v>7.9</v>
      </c>
    </row>
    <row r="115" customFormat="false" ht="15" hidden="false" customHeight="false" outlineLevel="0" collapsed="false">
      <c r="A115" s="12" t="n">
        <v>112</v>
      </c>
      <c r="B115" s="13" t="s">
        <v>452</v>
      </c>
      <c r="C115" s="13" t="s">
        <v>470</v>
      </c>
      <c r="D115" s="13" t="s">
        <v>480</v>
      </c>
      <c r="E115" s="14" t="s">
        <v>481</v>
      </c>
      <c r="F115" s="15" t="s">
        <v>482</v>
      </c>
      <c r="G115" s="13" t="s">
        <v>138</v>
      </c>
      <c r="H115" s="9" t="s">
        <v>474</v>
      </c>
      <c r="I115" s="12" t="n">
        <v>9</v>
      </c>
      <c r="J115" s="12" t="n">
        <v>6</v>
      </c>
      <c r="K115" s="12" t="n">
        <v>5</v>
      </c>
      <c r="L115" s="12" t="n">
        <v>9</v>
      </c>
      <c r="M115" s="12" t="n">
        <v>8</v>
      </c>
      <c r="N115" s="12" t="n">
        <v>4</v>
      </c>
      <c r="O115" s="16" t="n">
        <v>500</v>
      </c>
      <c r="P115" s="12" t="n">
        <v>6</v>
      </c>
      <c r="Q115" s="12" t="n">
        <v>6</v>
      </c>
      <c r="R115" s="13" t="s">
        <v>37</v>
      </c>
      <c r="S115" s="12" t="s">
        <v>475</v>
      </c>
      <c r="T115" s="12" t="n">
        <v>9</v>
      </c>
      <c r="U115" s="12" t="n">
        <v>7.5</v>
      </c>
      <c r="V115" s="12" t="n">
        <v>8.5</v>
      </c>
      <c r="W115" s="17" t="n">
        <f aca="false">ROUND(I115*0.15+J115*0.08+K115*0.08+L115*0.1+M115*0.08+P115*0.1+Q115*0.05+T115*0.15+U115*0.12+V115*0.09,2)</f>
        <v>7.69</v>
      </c>
    </row>
    <row r="116" customFormat="false" ht="15" hidden="false" customHeight="false" outlineLevel="0" collapsed="false">
      <c r="A116" s="5" t="n">
        <v>113</v>
      </c>
      <c r="B116" s="6" t="s">
        <v>452</v>
      </c>
      <c r="C116" s="6" t="s">
        <v>470</v>
      </c>
      <c r="D116" s="6" t="s">
        <v>483</v>
      </c>
      <c r="E116" s="7" t="s">
        <v>484</v>
      </c>
      <c r="F116" s="8" t="s">
        <v>485</v>
      </c>
      <c r="G116" s="6" t="s">
        <v>486</v>
      </c>
      <c r="H116" s="9" t="s">
        <v>474</v>
      </c>
      <c r="I116" s="5" t="n">
        <v>8.8</v>
      </c>
      <c r="J116" s="5" t="n">
        <v>7</v>
      </c>
      <c r="K116" s="5" t="n">
        <v>6</v>
      </c>
      <c r="L116" s="5" t="n">
        <v>9</v>
      </c>
      <c r="M116" s="5" t="n">
        <v>8</v>
      </c>
      <c r="N116" s="5" t="n">
        <v>5</v>
      </c>
      <c r="O116" s="10" t="n">
        <v>500</v>
      </c>
      <c r="P116" s="5" t="n">
        <v>7</v>
      </c>
      <c r="Q116" s="5" t="n">
        <v>7</v>
      </c>
      <c r="R116" s="6" t="s">
        <v>53</v>
      </c>
      <c r="S116" s="5" t="s">
        <v>411</v>
      </c>
      <c r="T116" s="5" t="n">
        <v>8</v>
      </c>
      <c r="U116" s="5" t="n">
        <v>8.5</v>
      </c>
      <c r="V116" s="5" t="n">
        <v>8.5</v>
      </c>
      <c r="W116" s="11" t="n">
        <f aca="false">ROUND(I116*0.15+J116*0.08+K116*0.08+L116*0.1+M116*0.08+P116*0.1+Q116*0.05+T116*0.15+U116*0.12+V116*0.09,2)</f>
        <v>7.94</v>
      </c>
    </row>
    <row r="117" customFormat="false" ht="15" hidden="false" customHeight="false" outlineLevel="0" collapsed="false">
      <c r="A117" s="12" t="n">
        <v>114</v>
      </c>
      <c r="B117" s="13" t="s">
        <v>452</v>
      </c>
      <c r="C117" s="13" t="s">
        <v>470</v>
      </c>
      <c r="D117" s="13" t="s">
        <v>487</v>
      </c>
      <c r="E117" s="14" t="s">
        <v>488</v>
      </c>
      <c r="F117" s="15" t="s">
        <v>489</v>
      </c>
      <c r="G117" s="13" t="s">
        <v>143</v>
      </c>
      <c r="H117" s="9" t="s">
        <v>474</v>
      </c>
      <c r="I117" s="12" t="n">
        <v>9</v>
      </c>
      <c r="J117" s="12" t="n">
        <v>5</v>
      </c>
      <c r="K117" s="12" t="n">
        <v>5</v>
      </c>
      <c r="L117" s="12" t="n">
        <v>8</v>
      </c>
      <c r="M117" s="12" t="n">
        <v>8</v>
      </c>
      <c r="N117" s="12" t="n">
        <v>3</v>
      </c>
      <c r="O117" s="16" t="n">
        <v>500</v>
      </c>
      <c r="P117" s="12" t="n">
        <v>6</v>
      </c>
      <c r="Q117" s="12" t="n">
        <v>7</v>
      </c>
      <c r="R117" s="13" t="s">
        <v>37</v>
      </c>
      <c r="S117" s="12" t="s">
        <v>129</v>
      </c>
      <c r="T117" s="12" t="n">
        <v>9.5</v>
      </c>
      <c r="U117" s="12" t="n">
        <v>7.5</v>
      </c>
      <c r="V117" s="12" t="n">
        <v>8.5</v>
      </c>
      <c r="W117" s="17" t="n">
        <f aca="false">ROUND(I117*0.15+J117*0.08+K117*0.08+L117*0.1+M117*0.08+P117*0.1+Q117*0.05+T117*0.15+U117*0.12+V117*0.09,2)</f>
        <v>7.63</v>
      </c>
    </row>
    <row r="118" customFormat="false" ht="15" hidden="false" customHeight="false" outlineLevel="0" collapsed="false">
      <c r="A118" s="5" t="n">
        <v>115</v>
      </c>
      <c r="B118" s="6" t="s">
        <v>452</v>
      </c>
      <c r="C118" s="6" t="s">
        <v>470</v>
      </c>
      <c r="D118" s="6" t="s">
        <v>471</v>
      </c>
      <c r="E118" s="7" t="s">
        <v>490</v>
      </c>
      <c r="F118" s="8" t="s">
        <v>491</v>
      </c>
      <c r="G118" s="6" t="s">
        <v>492</v>
      </c>
      <c r="H118" s="9" t="s">
        <v>474</v>
      </c>
      <c r="I118" s="5" t="n">
        <v>8.8</v>
      </c>
      <c r="J118" s="5" t="n">
        <v>6</v>
      </c>
      <c r="K118" s="5" t="n">
        <v>6</v>
      </c>
      <c r="L118" s="5" t="n">
        <v>8</v>
      </c>
      <c r="M118" s="5" t="n">
        <v>9</v>
      </c>
      <c r="N118" s="5" t="n">
        <v>4</v>
      </c>
      <c r="O118" s="10" t="n">
        <v>600</v>
      </c>
      <c r="P118" s="5" t="n">
        <v>9</v>
      </c>
      <c r="Q118" s="5" t="n">
        <v>8</v>
      </c>
      <c r="R118" s="6" t="s">
        <v>37</v>
      </c>
      <c r="S118" s="5" t="s">
        <v>475</v>
      </c>
      <c r="T118" s="5" t="n">
        <v>8.5</v>
      </c>
      <c r="U118" s="5" t="n">
        <v>8.5</v>
      </c>
      <c r="V118" s="5" t="n">
        <v>8</v>
      </c>
      <c r="W118" s="11" t="n">
        <f aca="false">ROUND(I118*0.15+J118*0.08+K118*0.08+L118*0.1+M118*0.08+P118*0.1+Q118*0.05+T118*0.15+U118*0.12+V118*0.09,2)</f>
        <v>8.12</v>
      </c>
    </row>
    <row r="119" customFormat="false" ht="15" hidden="false" customHeight="false" outlineLevel="0" collapsed="false">
      <c r="A119" s="12" t="n">
        <v>116</v>
      </c>
      <c r="B119" s="13" t="s">
        <v>452</v>
      </c>
      <c r="C119" s="13" t="s">
        <v>470</v>
      </c>
      <c r="D119" s="13" t="s">
        <v>493</v>
      </c>
      <c r="E119" s="14" t="s">
        <v>494</v>
      </c>
      <c r="F119" s="15" t="s">
        <v>495</v>
      </c>
      <c r="G119" s="13" t="s">
        <v>269</v>
      </c>
      <c r="H119" s="9" t="s">
        <v>474</v>
      </c>
      <c r="I119" s="12" t="n">
        <v>9</v>
      </c>
      <c r="J119" s="12" t="n">
        <v>6</v>
      </c>
      <c r="K119" s="12" t="n">
        <v>4</v>
      </c>
      <c r="L119" s="12" t="n">
        <v>9</v>
      </c>
      <c r="M119" s="12" t="n">
        <v>8</v>
      </c>
      <c r="N119" s="12" t="n">
        <v>4</v>
      </c>
      <c r="O119" s="16" t="n">
        <v>500</v>
      </c>
      <c r="P119" s="12" t="n">
        <v>5</v>
      </c>
      <c r="Q119" s="12" t="n">
        <v>6</v>
      </c>
      <c r="R119" s="13" t="s">
        <v>53</v>
      </c>
      <c r="S119" s="12" t="s">
        <v>496</v>
      </c>
      <c r="T119" s="12" t="n">
        <v>8.5</v>
      </c>
      <c r="U119" s="12" t="n">
        <v>7.5</v>
      </c>
      <c r="V119" s="12" t="n">
        <v>8.5</v>
      </c>
      <c r="W119" s="17" t="n">
        <f aca="false">ROUND(I119*0.15+J119*0.08+K119*0.08+L119*0.1+M119*0.08+P119*0.1+Q119*0.05+T119*0.15+U119*0.12+V119*0.09,2)</f>
        <v>7.43</v>
      </c>
    </row>
    <row r="120" customFormat="false" ht="15" hidden="false" customHeight="false" outlineLevel="0" collapsed="false">
      <c r="A120" s="5" t="n">
        <v>117</v>
      </c>
      <c r="B120" s="6" t="s">
        <v>452</v>
      </c>
      <c r="C120" s="6" t="s">
        <v>470</v>
      </c>
      <c r="D120" s="6" t="s">
        <v>497</v>
      </c>
      <c r="E120" s="7" t="s">
        <v>497</v>
      </c>
      <c r="F120" s="8" t="s">
        <v>498</v>
      </c>
      <c r="G120" s="6" t="s">
        <v>499</v>
      </c>
      <c r="H120" s="9" t="s">
        <v>474</v>
      </c>
      <c r="I120" s="5" t="n">
        <v>8.5</v>
      </c>
      <c r="J120" s="5" t="n">
        <v>5</v>
      </c>
      <c r="K120" s="5" t="n">
        <v>5</v>
      </c>
      <c r="L120" s="5" t="n">
        <v>8</v>
      </c>
      <c r="M120" s="5" t="n">
        <v>8</v>
      </c>
      <c r="N120" s="5" t="n">
        <v>3</v>
      </c>
      <c r="O120" s="10" t="n">
        <v>400</v>
      </c>
      <c r="P120" s="5" t="n">
        <v>5</v>
      </c>
      <c r="Q120" s="5" t="n">
        <v>7</v>
      </c>
      <c r="R120" s="6" t="s">
        <v>37</v>
      </c>
      <c r="S120" s="5" t="s">
        <v>479</v>
      </c>
      <c r="T120" s="5" t="n">
        <v>9</v>
      </c>
      <c r="U120" s="5" t="n">
        <v>7</v>
      </c>
      <c r="V120" s="5" t="n">
        <v>9</v>
      </c>
      <c r="W120" s="11" t="n">
        <f aca="false">ROUND(I120*0.15+J120*0.08+K120*0.08+L120*0.1+M120*0.08+P120*0.1+Q120*0.05+T120*0.15+U120*0.12+V120*0.09,2)</f>
        <v>7.37</v>
      </c>
    </row>
    <row r="121" customFormat="false" ht="15" hidden="false" customHeight="false" outlineLevel="0" collapsed="false">
      <c r="A121" s="12" t="n">
        <v>118</v>
      </c>
      <c r="B121" s="13" t="s">
        <v>452</v>
      </c>
      <c r="C121" s="13" t="s">
        <v>500</v>
      </c>
      <c r="D121" s="13" t="s">
        <v>501</v>
      </c>
      <c r="E121" s="14" t="s">
        <v>502</v>
      </c>
      <c r="F121" s="15" t="s">
        <v>503</v>
      </c>
      <c r="G121" s="13" t="s">
        <v>30</v>
      </c>
      <c r="H121" s="9" t="s">
        <v>31</v>
      </c>
      <c r="I121" s="12" t="n">
        <v>8.5</v>
      </c>
      <c r="J121" s="12" t="n">
        <v>5</v>
      </c>
      <c r="K121" s="12" t="n">
        <v>5</v>
      </c>
      <c r="L121" s="12" t="n">
        <v>7</v>
      </c>
      <c r="M121" s="12" t="n">
        <v>7</v>
      </c>
      <c r="N121" s="12" t="n">
        <v>3</v>
      </c>
      <c r="O121" s="16" t="n">
        <v>1000</v>
      </c>
      <c r="P121" s="12" t="n">
        <v>7</v>
      </c>
      <c r="Q121" s="12" t="n">
        <v>6</v>
      </c>
      <c r="R121" s="13" t="s">
        <v>182</v>
      </c>
      <c r="S121" s="12" t="s">
        <v>84</v>
      </c>
      <c r="T121" s="12" t="n">
        <v>8.5</v>
      </c>
      <c r="U121" s="12" t="n">
        <v>8.5</v>
      </c>
      <c r="V121" s="12" t="n">
        <v>7</v>
      </c>
      <c r="W121" s="17" t="n">
        <f aca="false">ROUND(I121*0.15+J121*0.08+K121*0.08+L121*0.1+M121*0.08+P121*0.1+Q121*0.05+T121*0.15+U121*0.12+V121*0.09,2)</f>
        <v>7.26</v>
      </c>
    </row>
    <row r="122" customFormat="false" ht="15" hidden="false" customHeight="false" outlineLevel="0" collapsed="false">
      <c r="A122" s="5" t="n">
        <v>119</v>
      </c>
      <c r="B122" s="6" t="s">
        <v>452</v>
      </c>
      <c r="C122" s="6" t="s">
        <v>500</v>
      </c>
      <c r="D122" s="6" t="s">
        <v>504</v>
      </c>
      <c r="E122" s="7" t="s">
        <v>505</v>
      </c>
      <c r="F122" s="8" t="s">
        <v>506</v>
      </c>
      <c r="G122" s="6" t="s">
        <v>30</v>
      </c>
      <c r="H122" s="9" t="s">
        <v>31</v>
      </c>
      <c r="I122" s="5" t="n">
        <v>8.3</v>
      </c>
      <c r="J122" s="5" t="n">
        <v>5</v>
      </c>
      <c r="K122" s="5" t="n">
        <v>5</v>
      </c>
      <c r="L122" s="5" t="n">
        <v>7</v>
      </c>
      <c r="M122" s="5" t="n">
        <v>8</v>
      </c>
      <c r="N122" s="5" t="n">
        <v>3</v>
      </c>
      <c r="O122" s="10" t="n">
        <v>800</v>
      </c>
      <c r="P122" s="5" t="n">
        <v>7</v>
      </c>
      <c r="Q122" s="5" t="n">
        <v>7</v>
      </c>
      <c r="R122" s="6" t="s">
        <v>182</v>
      </c>
      <c r="S122" s="5" t="s">
        <v>84</v>
      </c>
      <c r="T122" s="5" t="n">
        <v>8.5</v>
      </c>
      <c r="U122" s="5" t="n">
        <v>8</v>
      </c>
      <c r="V122" s="5" t="n">
        <v>7.5</v>
      </c>
      <c r="W122" s="11" t="n">
        <f aca="false">ROUND(I122*0.15+J122*0.08+K122*0.08+L122*0.1+M122*0.08+P122*0.1+Q122*0.05+T122*0.15+U122*0.12+V122*0.09,2)</f>
        <v>7.35</v>
      </c>
    </row>
    <row r="123" customFormat="false" ht="15" hidden="false" customHeight="false" outlineLevel="0" collapsed="false">
      <c r="A123" s="12" t="n">
        <v>120</v>
      </c>
      <c r="B123" s="13" t="s">
        <v>452</v>
      </c>
      <c r="C123" s="13" t="s">
        <v>500</v>
      </c>
      <c r="D123" s="13" t="s">
        <v>507</v>
      </c>
      <c r="E123" s="14" t="s">
        <v>508</v>
      </c>
      <c r="F123" s="15" t="s">
        <v>509</v>
      </c>
      <c r="G123" s="13" t="s">
        <v>143</v>
      </c>
      <c r="H123" s="9" t="s">
        <v>31</v>
      </c>
      <c r="I123" s="12" t="n">
        <v>9</v>
      </c>
      <c r="J123" s="12" t="n">
        <v>4</v>
      </c>
      <c r="K123" s="12" t="n">
        <v>4</v>
      </c>
      <c r="L123" s="12" t="n">
        <v>8</v>
      </c>
      <c r="M123" s="12" t="n">
        <v>8</v>
      </c>
      <c r="N123" s="12" t="n">
        <v>4</v>
      </c>
      <c r="O123" s="16" t="n">
        <v>1200</v>
      </c>
      <c r="P123" s="12" t="n">
        <v>4</v>
      </c>
      <c r="Q123" s="12" t="n">
        <v>4</v>
      </c>
      <c r="R123" s="13" t="s">
        <v>182</v>
      </c>
      <c r="S123" s="12" t="s">
        <v>84</v>
      </c>
      <c r="T123" s="12" t="n">
        <v>9.5</v>
      </c>
      <c r="U123" s="12" t="n">
        <v>8</v>
      </c>
      <c r="V123" s="12" t="n">
        <v>7.5</v>
      </c>
      <c r="W123" s="17" t="n">
        <f aca="false">ROUND(I123*0.15+J123*0.08+K123*0.08+L123*0.1+M123*0.08+P123*0.1+Q123*0.05+T123*0.15+U123*0.12+V123*0.09,2)</f>
        <v>7.09</v>
      </c>
    </row>
    <row r="124" customFormat="false" ht="15" hidden="false" customHeight="false" outlineLevel="0" collapsed="false">
      <c r="A124" s="5" t="n">
        <v>121</v>
      </c>
      <c r="B124" s="6" t="s">
        <v>452</v>
      </c>
      <c r="C124" s="6" t="s">
        <v>510</v>
      </c>
      <c r="D124" s="6" t="s">
        <v>511</v>
      </c>
      <c r="E124" s="7" t="s">
        <v>512</v>
      </c>
      <c r="F124" s="8" t="s">
        <v>513</v>
      </c>
      <c r="G124" s="6" t="s">
        <v>372</v>
      </c>
      <c r="H124" s="9" t="s">
        <v>31</v>
      </c>
      <c r="I124" s="5" t="n">
        <v>9</v>
      </c>
      <c r="J124" s="5" t="n">
        <v>5</v>
      </c>
      <c r="K124" s="5" t="n">
        <v>5</v>
      </c>
      <c r="L124" s="5" t="n">
        <v>8</v>
      </c>
      <c r="M124" s="5" t="n">
        <v>8</v>
      </c>
      <c r="N124" s="5" t="n">
        <v>2</v>
      </c>
      <c r="O124" s="10" t="n">
        <v>800</v>
      </c>
      <c r="P124" s="5" t="n">
        <v>6</v>
      </c>
      <c r="Q124" s="5" t="n">
        <v>6</v>
      </c>
      <c r="R124" s="6" t="s">
        <v>182</v>
      </c>
      <c r="S124" s="5" t="s">
        <v>84</v>
      </c>
      <c r="T124" s="5" t="n">
        <v>9</v>
      </c>
      <c r="U124" s="5" t="n">
        <v>8</v>
      </c>
      <c r="V124" s="5" t="n">
        <v>7.5</v>
      </c>
      <c r="W124" s="11" t="n">
        <f aca="false">ROUND(I124*0.15+J124*0.08+K124*0.08+L124*0.1+M124*0.08+P124*0.1+Q124*0.05+T124*0.15+U124*0.12+V124*0.09,2)</f>
        <v>7.48</v>
      </c>
    </row>
    <row r="125" customFormat="false" ht="15" hidden="false" customHeight="false" outlineLevel="0" collapsed="false">
      <c r="A125" s="12" t="n">
        <v>122</v>
      </c>
      <c r="B125" s="13" t="s">
        <v>452</v>
      </c>
      <c r="C125" s="13" t="s">
        <v>510</v>
      </c>
      <c r="D125" s="13" t="s">
        <v>514</v>
      </c>
      <c r="E125" s="14" t="s">
        <v>515</v>
      </c>
      <c r="F125" s="15" t="s">
        <v>516</v>
      </c>
      <c r="G125" s="13" t="s">
        <v>517</v>
      </c>
      <c r="H125" s="9" t="s">
        <v>31</v>
      </c>
      <c r="I125" s="12" t="n">
        <v>8.5</v>
      </c>
      <c r="J125" s="12" t="n">
        <v>4</v>
      </c>
      <c r="K125" s="12" t="n">
        <v>3</v>
      </c>
      <c r="L125" s="12" t="n">
        <v>8</v>
      </c>
      <c r="M125" s="12" t="n">
        <v>7</v>
      </c>
      <c r="N125" s="12" t="n">
        <v>5</v>
      </c>
      <c r="O125" s="16" t="n">
        <v>800</v>
      </c>
      <c r="P125" s="12" t="n">
        <v>4</v>
      </c>
      <c r="Q125" s="12" t="n">
        <v>5</v>
      </c>
      <c r="R125" s="13" t="s">
        <v>182</v>
      </c>
      <c r="S125" s="12" t="s">
        <v>84</v>
      </c>
      <c r="T125" s="12" t="n">
        <v>8.5</v>
      </c>
      <c r="U125" s="12" t="n">
        <v>6.5</v>
      </c>
      <c r="V125" s="12" t="n">
        <v>7</v>
      </c>
      <c r="W125" s="17" t="n">
        <f aca="false">ROUND(I125*0.15+J125*0.08+K125*0.08+L125*0.1+M125*0.08+P125*0.1+Q125*0.05+T125*0.15+U125*0.12+V125*0.09,2)</f>
        <v>6.53</v>
      </c>
    </row>
    <row r="126" customFormat="false" ht="15" hidden="false" customHeight="false" outlineLevel="0" collapsed="false">
      <c r="A126" s="5" t="n">
        <v>123</v>
      </c>
      <c r="B126" s="6" t="s">
        <v>452</v>
      </c>
      <c r="C126" s="6" t="s">
        <v>518</v>
      </c>
      <c r="D126" s="6" t="s">
        <v>519</v>
      </c>
      <c r="E126" s="7" t="s">
        <v>520</v>
      </c>
      <c r="F126" s="8" t="s">
        <v>521</v>
      </c>
      <c r="G126" s="6" t="s">
        <v>466</v>
      </c>
      <c r="H126" s="9" t="s">
        <v>177</v>
      </c>
      <c r="I126" s="5" t="n">
        <v>9</v>
      </c>
      <c r="J126" s="5" t="n">
        <v>7</v>
      </c>
      <c r="K126" s="5" t="n">
        <v>7</v>
      </c>
      <c r="L126" s="5" t="n">
        <v>8</v>
      </c>
      <c r="M126" s="5" t="n">
        <v>9</v>
      </c>
      <c r="N126" s="5" t="n">
        <v>3</v>
      </c>
      <c r="O126" s="10" t="n">
        <v>1200</v>
      </c>
      <c r="P126" s="5" t="n">
        <v>8</v>
      </c>
      <c r="Q126" s="5" t="n">
        <v>7</v>
      </c>
      <c r="R126" s="6" t="s">
        <v>182</v>
      </c>
      <c r="S126" s="5" t="s">
        <v>124</v>
      </c>
      <c r="T126" s="5" t="n">
        <v>9</v>
      </c>
      <c r="U126" s="5" t="n">
        <v>10</v>
      </c>
      <c r="V126" s="5" t="n">
        <v>7.5</v>
      </c>
      <c r="W126" s="11" t="n">
        <f aca="false">ROUND(I126*0.15+J126*0.08+K126*0.08+L126*0.1+M126*0.08+P126*0.1+Q126*0.05+T126*0.15+U126*0.12+V126*0.09,2)</f>
        <v>8.37</v>
      </c>
    </row>
    <row r="127" customFormat="false" ht="15" hidden="false" customHeight="false" outlineLevel="0" collapsed="false">
      <c r="A127" s="12" t="n">
        <v>124</v>
      </c>
      <c r="B127" s="13" t="s">
        <v>452</v>
      </c>
      <c r="C127" s="13" t="s">
        <v>518</v>
      </c>
      <c r="D127" s="13" t="s">
        <v>519</v>
      </c>
      <c r="E127" s="14" t="s">
        <v>522</v>
      </c>
      <c r="F127" s="15" t="s">
        <v>523</v>
      </c>
      <c r="G127" s="13" t="s">
        <v>524</v>
      </c>
      <c r="H127" s="9" t="s">
        <v>177</v>
      </c>
      <c r="I127" s="12" t="n">
        <v>8.5</v>
      </c>
      <c r="J127" s="12" t="n">
        <v>7</v>
      </c>
      <c r="K127" s="12" t="n">
        <v>6</v>
      </c>
      <c r="L127" s="12" t="n">
        <v>8</v>
      </c>
      <c r="M127" s="12" t="n">
        <v>7</v>
      </c>
      <c r="N127" s="12" t="n">
        <v>4</v>
      </c>
      <c r="O127" s="16" t="n">
        <v>1200</v>
      </c>
      <c r="P127" s="12" t="n">
        <v>8</v>
      </c>
      <c r="Q127" s="12" t="n">
        <v>7</v>
      </c>
      <c r="R127" s="13" t="s">
        <v>182</v>
      </c>
      <c r="S127" s="12" t="s">
        <v>124</v>
      </c>
      <c r="T127" s="12" t="n">
        <v>7.5</v>
      </c>
      <c r="U127" s="12" t="n">
        <v>9.5</v>
      </c>
      <c r="V127" s="12" t="n">
        <v>6.5</v>
      </c>
      <c r="W127" s="17" t="n">
        <f aca="false">ROUND(I127*0.15+J127*0.08+K127*0.08+L127*0.1+M127*0.08+P127*0.1+Q127*0.05+T127*0.15+U127*0.12+V127*0.09,2)</f>
        <v>7.68</v>
      </c>
    </row>
    <row r="128" customFormat="false" ht="15" hidden="false" customHeight="false" outlineLevel="0" collapsed="false">
      <c r="A128" s="5" t="n">
        <v>125</v>
      </c>
      <c r="B128" s="6" t="s">
        <v>452</v>
      </c>
      <c r="C128" s="6" t="s">
        <v>525</v>
      </c>
      <c r="D128" s="6" t="s">
        <v>526</v>
      </c>
      <c r="E128" s="7" t="s">
        <v>527</v>
      </c>
      <c r="F128" s="8" t="s">
        <v>528</v>
      </c>
      <c r="G128" s="6" t="s">
        <v>529</v>
      </c>
      <c r="H128" s="9" t="s">
        <v>177</v>
      </c>
      <c r="I128" s="5" t="n">
        <v>9</v>
      </c>
      <c r="J128" s="5" t="n">
        <v>6</v>
      </c>
      <c r="K128" s="5" t="n">
        <v>6</v>
      </c>
      <c r="L128" s="5" t="n">
        <v>9</v>
      </c>
      <c r="M128" s="5" t="n">
        <v>9</v>
      </c>
      <c r="N128" s="5" t="n">
        <v>4</v>
      </c>
      <c r="O128" s="10" t="n">
        <v>300</v>
      </c>
      <c r="P128" s="5" t="n">
        <v>6</v>
      </c>
      <c r="Q128" s="5" t="n">
        <v>7</v>
      </c>
      <c r="R128" s="6" t="s">
        <v>37</v>
      </c>
      <c r="S128" s="5" t="s">
        <v>479</v>
      </c>
      <c r="T128" s="5" t="n">
        <v>8.5</v>
      </c>
      <c r="U128" s="5" t="n">
        <v>7.5</v>
      </c>
      <c r="V128" s="5" t="n">
        <v>9.5</v>
      </c>
      <c r="W128" s="11" t="n">
        <f aca="false">ROUND(I128*0.15+J128*0.08+K128*0.08+L128*0.1+M128*0.08+P128*0.1+Q128*0.05+T128*0.15+U128*0.12+V128*0.09,2)</f>
        <v>7.91</v>
      </c>
    </row>
    <row r="129" customFormat="false" ht="15" hidden="false" customHeight="false" outlineLevel="0" collapsed="false">
      <c r="A129" s="12" t="n">
        <v>126</v>
      </c>
      <c r="B129" s="13" t="s">
        <v>452</v>
      </c>
      <c r="C129" s="13" t="s">
        <v>525</v>
      </c>
      <c r="D129" s="13" t="s">
        <v>530</v>
      </c>
      <c r="E129" s="14" t="s">
        <v>531</v>
      </c>
      <c r="F129" s="15" t="s">
        <v>532</v>
      </c>
      <c r="G129" s="13" t="s">
        <v>533</v>
      </c>
      <c r="H129" s="9" t="s">
        <v>177</v>
      </c>
      <c r="I129" s="12" t="n">
        <v>9.2</v>
      </c>
      <c r="J129" s="12" t="n">
        <v>4</v>
      </c>
      <c r="K129" s="12" t="n">
        <v>3</v>
      </c>
      <c r="L129" s="12" t="n">
        <v>9</v>
      </c>
      <c r="M129" s="12" t="n">
        <v>8</v>
      </c>
      <c r="N129" s="12" t="n">
        <v>5</v>
      </c>
      <c r="O129" s="16" t="n">
        <v>300</v>
      </c>
      <c r="P129" s="12" t="n">
        <v>5</v>
      </c>
      <c r="Q129" s="12" t="n">
        <v>5</v>
      </c>
      <c r="R129" s="13" t="s">
        <v>53</v>
      </c>
      <c r="S129" s="12" t="s">
        <v>496</v>
      </c>
      <c r="T129" s="12" t="n">
        <v>9</v>
      </c>
      <c r="U129" s="12" t="n">
        <v>6</v>
      </c>
      <c r="V129" s="12" t="n">
        <v>9.5</v>
      </c>
      <c r="W129" s="17" t="n">
        <f aca="false">ROUND(I129*0.15+J129*0.08+K129*0.08+L129*0.1+M129*0.08+P129*0.1+Q129*0.05+T129*0.15+U129*0.12+V129*0.09,2)</f>
        <v>7.16</v>
      </c>
    </row>
    <row r="130" customFormat="false" ht="15" hidden="false" customHeight="false" outlineLevel="0" collapsed="false">
      <c r="A130" s="5" t="n">
        <v>127</v>
      </c>
      <c r="B130" s="6" t="s">
        <v>452</v>
      </c>
      <c r="C130" s="6" t="s">
        <v>525</v>
      </c>
      <c r="D130" s="6" t="s">
        <v>534</v>
      </c>
      <c r="E130" s="7" t="s">
        <v>535</v>
      </c>
      <c r="F130" s="8" t="s">
        <v>536</v>
      </c>
      <c r="G130" s="6" t="s">
        <v>403</v>
      </c>
      <c r="H130" s="9" t="s">
        <v>177</v>
      </c>
      <c r="I130" s="5" t="n">
        <v>8.5</v>
      </c>
      <c r="J130" s="5" t="n">
        <v>5</v>
      </c>
      <c r="K130" s="5" t="n">
        <v>5</v>
      </c>
      <c r="L130" s="5" t="n">
        <v>9</v>
      </c>
      <c r="M130" s="5" t="n">
        <v>7</v>
      </c>
      <c r="N130" s="5" t="n">
        <v>5</v>
      </c>
      <c r="O130" s="10" t="n">
        <v>250</v>
      </c>
      <c r="P130" s="5" t="n">
        <v>5</v>
      </c>
      <c r="Q130" s="5" t="n">
        <v>6</v>
      </c>
      <c r="R130" s="6" t="s">
        <v>104</v>
      </c>
      <c r="S130" s="5" t="s">
        <v>155</v>
      </c>
      <c r="T130" s="5" t="n">
        <v>8</v>
      </c>
      <c r="U130" s="5" t="n">
        <v>6.5</v>
      </c>
      <c r="V130" s="5" t="n">
        <v>10</v>
      </c>
      <c r="W130" s="11" t="n">
        <f aca="false">ROUND(I130*0.15+J130*0.08+K130*0.08+L130*0.1+M130*0.08+P130*0.1+Q130*0.05+T130*0.15+U130*0.12+V130*0.09,2)</f>
        <v>7.22</v>
      </c>
    </row>
    <row r="131" customFormat="false" ht="15" hidden="false" customHeight="false" outlineLevel="0" collapsed="false">
      <c r="A131" s="12" t="n">
        <v>128</v>
      </c>
      <c r="B131" s="13" t="s">
        <v>452</v>
      </c>
      <c r="C131" s="13" t="s">
        <v>525</v>
      </c>
      <c r="D131" s="13" t="s">
        <v>537</v>
      </c>
      <c r="E131" s="14" t="s">
        <v>538</v>
      </c>
      <c r="F131" s="15" t="s">
        <v>539</v>
      </c>
      <c r="G131" s="13" t="s">
        <v>167</v>
      </c>
      <c r="H131" s="9" t="s">
        <v>177</v>
      </c>
      <c r="I131" s="12" t="n">
        <v>8.3</v>
      </c>
      <c r="J131" s="12" t="n">
        <v>5</v>
      </c>
      <c r="K131" s="12" t="n">
        <v>5</v>
      </c>
      <c r="L131" s="12" t="n">
        <v>7</v>
      </c>
      <c r="M131" s="12" t="n">
        <v>7</v>
      </c>
      <c r="N131" s="12" t="n">
        <v>4</v>
      </c>
      <c r="O131" s="16" t="n">
        <v>250</v>
      </c>
      <c r="P131" s="12" t="n">
        <v>5</v>
      </c>
      <c r="Q131" s="12" t="n">
        <v>7</v>
      </c>
      <c r="R131" s="13" t="s">
        <v>37</v>
      </c>
      <c r="S131" s="12" t="s">
        <v>479</v>
      </c>
      <c r="T131" s="12" t="n">
        <v>8.5</v>
      </c>
      <c r="U131" s="12" t="n">
        <v>6.5</v>
      </c>
      <c r="V131" s="12" t="n">
        <v>9.5</v>
      </c>
      <c r="W131" s="17" t="n">
        <f aca="false">ROUND(I131*0.15+J131*0.08+K131*0.08+L131*0.1+M131*0.08+P131*0.1+Q131*0.05+T131*0.15+U131*0.12+V131*0.09,2)</f>
        <v>7.07</v>
      </c>
    </row>
    <row r="132" customFormat="false" ht="15" hidden="false" customHeight="false" outlineLevel="0" collapsed="false">
      <c r="A132" s="5" t="n">
        <v>129</v>
      </c>
      <c r="B132" s="6" t="s">
        <v>452</v>
      </c>
      <c r="C132" s="6" t="s">
        <v>540</v>
      </c>
      <c r="D132" s="6" t="s">
        <v>541</v>
      </c>
      <c r="E132" s="7" t="s">
        <v>542</v>
      </c>
      <c r="F132" s="8" t="s">
        <v>543</v>
      </c>
      <c r="G132" s="6" t="s">
        <v>544</v>
      </c>
      <c r="H132" s="9" t="s">
        <v>177</v>
      </c>
      <c r="I132" s="5" t="n">
        <v>8.5</v>
      </c>
      <c r="J132" s="5" t="n">
        <v>6</v>
      </c>
      <c r="K132" s="5" t="n">
        <v>6</v>
      </c>
      <c r="L132" s="5" t="n">
        <v>8</v>
      </c>
      <c r="M132" s="5" t="n">
        <v>9</v>
      </c>
      <c r="N132" s="5" t="n">
        <v>3</v>
      </c>
      <c r="O132" s="10" t="n">
        <v>250</v>
      </c>
      <c r="P132" s="5" t="n">
        <v>5</v>
      </c>
      <c r="Q132" s="5" t="n">
        <v>7</v>
      </c>
      <c r="R132" s="6" t="s">
        <v>77</v>
      </c>
      <c r="S132" s="5" t="s">
        <v>78</v>
      </c>
      <c r="T132" s="5" t="n">
        <v>8</v>
      </c>
      <c r="U132" s="5" t="n">
        <v>7</v>
      </c>
      <c r="V132" s="5" t="n">
        <v>9.5</v>
      </c>
      <c r="W132" s="11" t="n">
        <f aca="false">ROUND(I132*0.15+J132*0.08+K132*0.08+L132*0.1+M132*0.08+P132*0.1+Q132*0.05+T132*0.15+U132*0.12+V132*0.09,2)</f>
        <v>7.5</v>
      </c>
    </row>
    <row r="133" customFormat="false" ht="15" hidden="false" customHeight="false" outlineLevel="0" collapsed="false">
      <c r="A133" s="12" t="n">
        <v>130</v>
      </c>
      <c r="B133" s="13" t="s">
        <v>452</v>
      </c>
      <c r="C133" s="13" t="s">
        <v>540</v>
      </c>
      <c r="D133" s="13" t="s">
        <v>545</v>
      </c>
      <c r="E133" s="14" t="s">
        <v>546</v>
      </c>
      <c r="F133" s="15" t="s">
        <v>547</v>
      </c>
      <c r="G133" s="13" t="s">
        <v>30</v>
      </c>
      <c r="H133" s="9" t="s">
        <v>177</v>
      </c>
      <c r="I133" s="12" t="n">
        <v>8.8</v>
      </c>
      <c r="J133" s="12" t="n">
        <v>5</v>
      </c>
      <c r="K133" s="12" t="n">
        <v>5</v>
      </c>
      <c r="L133" s="12" t="n">
        <v>8</v>
      </c>
      <c r="M133" s="12" t="n">
        <v>8</v>
      </c>
      <c r="N133" s="12" t="n">
        <v>4</v>
      </c>
      <c r="O133" s="16" t="n">
        <v>250</v>
      </c>
      <c r="P133" s="12" t="n">
        <v>5</v>
      </c>
      <c r="Q133" s="12" t="n">
        <v>7</v>
      </c>
      <c r="R133" s="13" t="s">
        <v>77</v>
      </c>
      <c r="S133" s="12" t="s">
        <v>411</v>
      </c>
      <c r="T133" s="12" t="n">
        <v>9.5</v>
      </c>
      <c r="U133" s="12" t="n">
        <v>6.5</v>
      </c>
      <c r="V133" s="12" t="n">
        <v>9.5</v>
      </c>
      <c r="W133" s="17" t="n">
        <f aca="false">ROUND(I133*0.15+J133*0.08+K133*0.08+L133*0.1+M133*0.08+P133*0.1+Q133*0.05+T133*0.15+U133*0.12+V133*0.09,2)</f>
        <v>7.47</v>
      </c>
    </row>
    <row r="134" customFormat="false" ht="15" hidden="false" customHeight="false" outlineLevel="0" collapsed="false">
      <c r="A134" s="5" t="n">
        <v>131</v>
      </c>
      <c r="B134" s="6" t="s">
        <v>548</v>
      </c>
      <c r="C134" s="6" t="s">
        <v>549</v>
      </c>
      <c r="D134" s="6" t="s">
        <v>550</v>
      </c>
      <c r="E134" s="7" t="s">
        <v>551</v>
      </c>
      <c r="F134" s="8" t="s">
        <v>552</v>
      </c>
      <c r="G134" s="6" t="s">
        <v>553</v>
      </c>
      <c r="H134" s="9" t="s">
        <v>177</v>
      </c>
      <c r="I134" s="5" t="n">
        <v>8.8</v>
      </c>
      <c r="J134" s="5" t="n">
        <v>4</v>
      </c>
      <c r="K134" s="5" t="n">
        <v>3</v>
      </c>
      <c r="L134" s="5" t="n">
        <v>8</v>
      </c>
      <c r="M134" s="5" t="n">
        <v>7</v>
      </c>
      <c r="N134" s="5" t="n">
        <v>5</v>
      </c>
      <c r="O134" s="10" t="n">
        <v>400</v>
      </c>
      <c r="P134" s="5" t="n">
        <v>5</v>
      </c>
      <c r="Q134" s="5" t="n">
        <v>4</v>
      </c>
      <c r="R134" s="6" t="s">
        <v>77</v>
      </c>
      <c r="S134" s="5" t="s">
        <v>411</v>
      </c>
      <c r="T134" s="5" t="n">
        <v>8.5</v>
      </c>
      <c r="U134" s="5" t="n">
        <v>6</v>
      </c>
      <c r="V134" s="5" t="n">
        <v>8.5</v>
      </c>
      <c r="W134" s="11" t="n">
        <f aca="false">ROUND(I134*0.15+J134*0.08+K134*0.08+L134*0.1+M134*0.08+P134*0.1+Q134*0.05+T134*0.15+U134*0.12+V134*0.09,2)</f>
        <v>6.7</v>
      </c>
    </row>
    <row r="135" customFormat="false" ht="15" hidden="false" customHeight="false" outlineLevel="0" collapsed="false">
      <c r="A135" s="12" t="n">
        <v>132</v>
      </c>
      <c r="B135" s="13" t="s">
        <v>548</v>
      </c>
      <c r="C135" s="13" t="s">
        <v>549</v>
      </c>
      <c r="D135" s="13" t="s">
        <v>550</v>
      </c>
      <c r="E135" s="14" t="s">
        <v>554</v>
      </c>
      <c r="F135" s="15" t="s">
        <v>555</v>
      </c>
      <c r="G135" s="13" t="s">
        <v>440</v>
      </c>
      <c r="H135" s="9" t="s">
        <v>177</v>
      </c>
      <c r="I135" s="12" t="n">
        <v>9</v>
      </c>
      <c r="J135" s="12" t="n">
        <v>5</v>
      </c>
      <c r="K135" s="12" t="n">
        <v>3</v>
      </c>
      <c r="L135" s="12" t="n">
        <v>9</v>
      </c>
      <c r="M135" s="12" t="n">
        <v>8</v>
      </c>
      <c r="N135" s="12" t="n">
        <v>3</v>
      </c>
      <c r="O135" s="16" t="n">
        <v>400</v>
      </c>
      <c r="P135" s="12" t="n">
        <v>5</v>
      </c>
      <c r="Q135" s="12" t="n">
        <v>4</v>
      </c>
      <c r="R135" s="13" t="s">
        <v>53</v>
      </c>
      <c r="S135" s="12" t="s">
        <v>496</v>
      </c>
      <c r="T135" s="12" t="n">
        <v>8.5</v>
      </c>
      <c r="U135" s="12" t="n">
        <v>5.5</v>
      </c>
      <c r="V135" s="12" t="n">
        <v>8.5</v>
      </c>
      <c r="W135" s="17" t="n">
        <f aca="false">ROUND(I135*0.15+J135*0.08+K135*0.08+L135*0.1+M135*0.08+P135*0.1+Q135*0.05+T135*0.15+U135*0.12+V135*0.09,2)</f>
        <v>6.93</v>
      </c>
    </row>
    <row r="136" customFormat="false" ht="15" hidden="false" customHeight="false" outlineLevel="0" collapsed="false">
      <c r="A136" s="5" t="n">
        <v>133</v>
      </c>
      <c r="B136" s="6" t="s">
        <v>548</v>
      </c>
      <c r="C136" s="6" t="s">
        <v>549</v>
      </c>
      <c r="D136" s="6" t="s">
        <v>556</v>
      </c>
      <c r="E136" s="7" t="s">
        <v>557</v>
      </c>
      <c r="F136" s="8" t="s">
        <v>558</v>
      </c>
      <c r="G136" s="6" t="s">
        <v>559</v>
      </c>
      <c r="H136" s="9" t="s">
        <v>177</v>
      </c>
      <c r="I136" s="5" t="n">
        <v>8</v>
      </c>
      <c r="J136" s="5" t="n">
        <v>7</v>
      </c>
      <c r="K136" s="5" t="n">
        <v>6</v>
      </c>
      <c r="L136" s="5" t="n">
        <v>7</v>
      </c>
      <c r="M136" s="5" t="n">
        <v>7</v>
      </c>
      <c r="N136" s="5" t="n">
        <v>3</v>
      </c>
      <c r="O136" s="10" t="n">
        <v>500</v>
      </c>
      <c r="P136" s="5" t="n">
        <v>6</v>
      </c>
      <c r="Q136" s="5" t="n">
        <v>5</v>
      </c>
      <c r="R136" s="6" t="s">
        <v>53</v>
      </c>
      <c r="S136" s="5" t="s">
        <v>309</v>
      </c>
      <c r="T136" s="5" t="n">
        <v>7</v>
      </c>
      <c r="U136" s="5" t="n">
        <v>8</v>
      </c>
      <c r="V136" s="5" t="n">
        <v>7.5</v>
      </c>
      <c r="W136" s="11" t="n">
        <f aca="false">ROUND(I136*0.15+J136*0.08+K136*0.08+L136*0.1+M136*0.08+P136*0.1+Q136*0.05+T136*0.15+U136*0.12+V136*0.09,2)</f>
        <v>7.04</v>
      </c>
    </row>
    <row r="137" customFormat="false" ht="15" hidden="false" customHeight="false" outlineLevel="0" collapsed="false">
      <c r="A137" s="12" t="n">
        <v>134</v>
      </c>
      <c r="B137" s="13" t="s">
        <v>548</v>
      </c>
      <c r="C137" s="13" t="s">
        <v>549</v>
      </c>
      <c r="D137" s="13" t="s">
        <v>560</v>
      </c>
      <c r="E137" s="14" t="s">
        <v>561</v>
      </c>
      <c r="F137" s="15" t="s">
        <v>562</v>
      </c>
      <c r="G137" s="13" t="s">
        <v>30</v>
      </c>
      <c r="H137" s="9" t="s">
        <v>177</v>
      </c>
      <c r="I137" s="12" t="n">
        <v>8.5</v>
      </c>
      <c r="J137" s="12" t="n">
        <v>4</v>
      </c>
      <c r="K137" s="12" t="n">
        <v>5</v>
      </c>
      <c r="L137" s="12" t="n">
        <v>7</v>
      </c>
      <c r="M137" s="12" t="n">
        <v>7</v>
      </c>
      <c r="N137" s="12" t="n">
        <v>2</v>
      </c>
      <c r="O137" s="16" t="n">
        <v>350</v>
      </c>
      <c r="P137" s="12" t="n">
        <v>5</v>
      </c>
      <c r="Q137" s="12" t="n">
        <v>5</v>
      </c>
      <c r="R137" s="13" t="s">
        <v>37</v>
      </c>
      <c r="S137" s="12" t="s">
        <v>159</v>
      </c>
      <c r="T137" s="12" t="n">
        <v>9.5</v>
      </c>
      <c r="U137" s="12" t="n">
        <v>6.5</v>
      </c>
      <c r="V137" s="12" t="n">
        <v>8.5</v>
      </c>
      <c r="W137" s="17" t="n">
        <f aca="false">ROUND(I137*0.15+J137*0.08+K137*0.08+L137*0.1+M137*0.08+P137*0.1+Q137*0.05+T137*0.15+U137*0.12+V137*0.09,2)</f>
        <v>6.98</v>
      </c>
    </row>
    <row r="138" customFormat="false" ht="26.85" hidden="false" customHeight="false" outlineLevel="0" collapsed="false">
      <c r="A138" s="5" t="n">
        <v>135</v>
      </c>
      <c r="B138" s="6" t="s">
        <v>548</v>
      </c>
      <c r="C138" s="6" t="s">
        <v>563</v>
      </c>
      <c r="D138" s="6" t="s">
        <v>564</v>
      </c>
      <c r="E138" s="7" t="s">
        <v>565</v>
      </c>
      <c r="F138" s="8" t="s">
        <v>566</v>
      </c>
      <c r="G138" s="6" t="s">
        <v>30</v>
      </c>
      <c r="H138" s="9" t="s">
        <v>31</v>
      </c>
      <c r="I138" s="5" t="n">
        <v>9.5</v>
      </c>
      <c r="J138" s="5" t="n">
        <v>5</v>
      </c>
      <c r="K138" s="5" t="n">
        <v>5</v>
      </c>
      <c r="L138" s="5" t="n">
        <v>9</v>
      </c>
      <c r="M138" s="5" t="n">
        <v>9</v>
      </c>
      <c r="N138" s="5" t="n">
        <v>4</v>
      </c>
      <c r="O138" s="10" t="n">
        <v>250</v>
      </c>
      <c r="P138" s="5" t="n">
        <v>5</v>
      </c>
      <c r="Q138" s="5" t="n">
        <v>6</v>
      </c>
      <c r="R138" s="6" t="s">
        <v>37</v>
      </c>
      <c r="S138" s="5" t="s">
        <v>159</v>
      </c>
      <c r="T138" s="5" t="n">
        <v>10</v>
      </c>
      <c r="U138" s="5" t="n">
        <v>7</v>
      </c>
      <c r="V138" s="5" t="n">
        <v>9.5</v>
      </c>
      <c r="W138" s="11" t="n">
        <f aca="false">ROUND(I138*0.15+J138*0.08+K138*0.08+L138*0.1+M138*0.08+P138*0.1+Q138*0.05+T138*0.15+U138*0.12+V138*0.09,2)</f>
        <v>7.84</v>
      </c>
    </row>
    <row r="139" customFormat="false" ht="26.85" hidden="false" customHeight="false" outlineLevel="0" collapsed="false">
      <c r="A139" s="12" t="n">
        <v>136</v>
      </c>
      <c r="B139" s="13" t="s">
        <v>548</v>
      </c>
      <c r="C139" s="13" t="s">
        <v>563</v>
      </c>
      <c r="D139" s="13" t="s">
        <v>567</v>
      </c>
      <c r="E139" s="14" t="s">
        <v>568</v>
      </c>
      <c r="F139" s="15" t="s">
        <v>569</v>
      </c>
      <c r="G139" s="13" t="s">
        <v>30</v>
      </c>
      <c r="H139" s="9" t="s">
        <v>31</v>
      </c>
      <c r="I139" s="12" t="n">
        <v>9.2</v>
      </c>
      <c r="J139" s="12" t="n">
        <v>5</v>
      </c>
      <c r="K139" s="12" t="n">
        <v>5</v>
      </c>
      <c r="L139" s="12" t="n">
        <v>8</v>
      </c>
      <c r="M139" s="12" t="n">
        <v>9</v>
      </c>
      <c r="N139" s="12" t="n">
        <v>5</v>
      </c>
      <c r="O139" s="16" t="n">
        <v>200</v>
      </c>
      <c r="P139" s="12" t="n">
        <v>5</v>
      </c>
      <c r="Q139" s="12" t="n">
        <v>6</v>
      </c>
      <c r="R139" s="13" t="s">
        <v>37</v>
      </c>
      <c r="S139" s="12" t="s">
        <v>159</v>
      </c>
      <c r="T139" s="12" t="n">
        <v>10</v>
      </c>
      <c r="U139" s="12" t="n">
        <v>6.5</v>
      </c>
      <c r="V139" s="12" t="n">
        <v>9.5</v>
      </c>
      <c r="W139" s="17" t="n">
        <f aca="false">ROUND(I139*0.15+J139*0.08+K139*0.08+L139*0.1+M139*0.08+P139*0.1+Q139*0.05+T139*0.15+U139*0.12+V139*0.09,2)</f>
        <v>7.64</v>
      </c>
    </row>
    <row r="140" customFormat="false" ht="26.85" hidden="false" customHeight="false" outlineLevel="0" collapsed="false">
      <c r="A140" s="5" t="n">
        <v>137</v>
      </c>
      <c r="B140" s="6" t="s">
        <v>548</v>
      </c>
      <c r="C140" s="6" t="s">
        <v>563</v>
      </c>
      <c r="D140" s="6" t="s">
        <v>570</v>
      </c>
      <c r="E140" s="7" t="s">
        <v>571</v>
      </c>
      <c r="F140" s="8" t="s">
        <v>572</v>
      </c>
      <c r="G140" s="6" t="s">
        <v>499</v>
      </c>
      <c r="H140" s="9" t="s">
        <v>31</v>
      </c>
      <c r="I140" s="5" t="n">
        <v>9</v>
      </c>
      <c r="J140" s="5" t="n">
        <v>5</v>
      </c>
      <c r="K140" s="5" t="n">
        <v>5</v>
      </c>
      <c r="L140" s="5" t="n">
        <v>8</v>
      </c>
      <c r="M140" s="5" t="n">
        <v>8</v>
      </c>
      <c r="N140" s="5" t="n">
        <v>4</v>
      </c>
      <c r="O140" s="10" t="n">
        <v>200</v>
      </c>
      <c r="P140" s="5" t="n">
        <v>4</v>
      </c>
      <c r="Q140" s="5" t="n">
        <v>6</v>
      </c>
      <c r="R140" s="6" t="s">
        <v>37</v>
      </c>
      <c r="S140" s="5" t="s">
        <v>159</v>
      </c>
      <c r="T140" s="5" t="n">
        <v>9.5</v>
      </c>
      <c r="U140" s="5" t="n">
        <v>6</v>
      </c>
      <c r="V140" s="5" t="n">
        <v>10</v>
      </c>
      <c r="W140" s="11" t="n">
        <f aca="false">ROUND(I140*0.15+J140*0.08+K140*0.08+L140*0.1+M140*0.08+P140*0.1+Q140*0.05+T140*0.15+U140*0.12+V140*0.09,2)</f>
        <v>7.34</v>
      </c>
    </row>
    <row r="141" customFormat="false" ht="26.85" hidden="false" customHeight="false" outlineLevel="0" collapsed="false">
      <c r="A141" s="12" t="n">
        <v>138</v>
      </c>
      <c r="B141" s="13" t="s">
        <v>548</v>
      </c>
      <c r="C141" s="13" t="s">
        <v>563</v>
      </c>
      <c r="D141" s="13" t="s">
        <v>573</v>
      </c>
      <c r="E141" s="14" t="s">
        <v>574</v>
      </c>
      <c r="F141" s="15" t="s">
        <v>575</v>
      </c>
      <c r="G141" s="13" t="s">
        <v>41</v>
      </c>
      <c r="H141" s="9" t="s">
        <v>31</v>
      </c>
      <c r="I141" s="12" t="n">
        <v>8.3</v>
      </c>
      <c r="J141" s="12" t="n">
        <v>5</v>
      </c>
      <c r="K141" s="12" t="n">
        <v>5</v>
      </c>
      <c r="L141" s="12" t="n">
        <v>7</v>
      </c>
      <c r="M141" s="12" t="n">
        <v>7</v>
      </c>
      <c r="N141" s="12" t="n">
        <v>2</v>
      </c>
      <c r="O141" s="16" t="n">
        <v>250</v>
      </c>
      <c r="P141" s="12" t="n">
        <v>6</v>
      </c>
      <c r="Q141" s="12" t="n">
        <v>7</v>
      </c>
      <c r="R141" s="13" t="s">
        <v>37</v>
      </c>
      <c r="S141" s="12" t="s">
        <v>159</v>
      </c>
      <c r="T141" s="12" t="n">
        <v>8</v>
      </c>
      <c r="U141" s="12" t="n">
        <v>7</v>
      </c>
      <c r="V141" s="12" t="n">
        <v>8.5</v>
      </c>
      <c r="W141" s="17" t="n">
        <f aca="false">ROUND(I141*0.15+J141*0.08+K141*0.08+L141*0.1+M141*0.08+P141*0.1+Q141*0.05+T141*0.15+U141*0.12+V141*0.09,2)</f>
        <v>7.06</v>
      </c>
    </row>
    <row r="142" customFormat="false" ht="26.85" hidden="false" customHeight="false" outlineLevel="0" collapsed="false">
      <c r="A142" s="5" t="n">
        <v>139</v>
      </c>
      <c r="B142" s="6" t="s">
        <v>548</v>
      </c>
      <c r="C142" s="6" t="s">
        <v>563</v>
      </c>
      <c r="D142" s="6" t="s">
        <v>576</v>
      </c>
      <c r="E142" s="7" t="s">
        <v>577</v>
      </c>
      <c r="F142" s="8" t="s">
        <v>578</v>
      </c>
      <c r="G142" s="6" t="s">
        <v>440</v>
      </c>
      <c r="H142" s="9" t="s">
        <v>31</v>
      </c>
      <c r="I142" s="5" t="n">
        <v>8</v>
      </c>
      <c r="J142" s="5" t="n">
        <v>4</v>
      </c>
      <c r="K142" s="5" t="n">
        <v>3</v>
      </c>
      <c r="L142" s="5" t="n">
        <v>7</v>
      </c>
      <c r="M142" s="5" t="n">
        <v>7</v>
      </c>
      <c r="N142" s="5" t="n">
        <v>5</v>
      </c>
      <c r="O142" s="10" t="n">
        <v>200</v>
      </c>
      <c r="P142" s="5" t="n">
        <v>3</v>
      </c>
      <c r="Q142" s="5" t="n">
        <v>4</v>
      </c>
      <c r="R142" s="6" t="s">
        <v>37</v>
      </c>
      <c r="S142" s="5" t="s">
        <v>159</v>
      </c>
      <c r="T142" s="5" t="n">
        <v>7.5</v>
      </c>
      <c r="U142" s="5" t="n">
        <v>5</v>
      </c>
      <c r="V142" s="5" t="n">
        <v>9.5</v>
      </c>
      <c r="W142" s="11" t="n">
        <f aca="false">ROUND(I142*0.15+J142*0.08+K142*0.08+L142*0.1+M142*0.08+P142*0.1+Q142*0.05+T142*0.15+U142*0.12+V142*0.09,2)</f>
        <v>6.1</v>
      </c>
    </row>
    <row r="143" customFormat="false" ht="26.85" hidden="false" customHeight="false" outlineLevel="0" collapsed="false">
      <c r="A143" s="12" t="n">
        <v>140</v>
      </c>
      <c r="B143" s="13" t="s">
        <v>548</v>
      </c>
      <c r="C143" s="13" t="s">
        <v>579</v>
      </c>
      <c r="D143" s="13" t="s">
        <v>580</v>
      </c>
      <c r="E143" s="14" t="s">
        <v>581</v>
      </c>
      <c r="F143" s="15" t="s">
        <v>582</v>
      </c>
      <c r="G143" s="13" t="s">
        <v>76</v>
      </c>
      <c r="H143" s="18" t="s">
        <v>270</v>
      </c>
      <c r="I143" s="12" t="n">
        <v>8.5</v>
      </c>
      <c r="J143" s="12" t="n">
        <v>4</v>
      </c>
      <c r="K143" s="12" t="n">
        <v>3</v>
      </c>
      <c r="L143" s="12" t="n">
        <v>7</v>
      </c>
      <c r="M143" s="12" t="n">
        <v>8</v>
      </c>
      <c r="N143" s="12" t="n">
        <v>5</v>
      </c>
      <c r="O143" s="16" t="n">
        <v>200</v>
      </c>
      <c r="P143" s="12" t="n">
        <v>5</v>
      </c>
      <c r="Q143" s="12" t="n">
        <v>5</v>
      </c>
      <c r="R143" s="13" t="s">
        <v>53</v>
      </c>
      <c r="S143" s="12" t="s">
        <v>496</v>
      </c>
      <c r="T143" s="12" t="n">
        <v>8</v>
      </c>
      <c r="U143" s="12" t="n">
        <v>5.5</v>
      </c>
      <c r="V143" s="12" t="n">
        <v>9.5</v>
      </c>
      <c r="W143" s="17" t="n">
        <f aca="false">ROUND(I143*0.15+J143*0.08+K143*0.08+L143*0.1+M143*0.08+P143*0.1+Q143*0.05+T143*0.15+U143*0.12+V143*0.09,2)</f>
        <v>6.64</v>
      </c>
    </row>
    <row r="144" customFormat="false" ht="26.85" hidden="false" customHeight="false" outlineLevel="0" collapsed="false">
      <c r="A144" s="5" t="n">
        <v>141</v>
      </c>
      <c r="B144" s="6" t="s">
        <v>548</v>
      </c>
      <c r="C144" s="6" t="s">
        <v>579</v>
      </c>
      <c r="D144" s="6" t="s">
        <v>583</v>
      </c>
      <c r="E144" s="7" t="s">
        <v>583</v>
      </c>
      <c r="F144" s="8" t="s">
        <v>584</v>
      </c>
      <c r="G144" s="6" t="s">
        <v>440</v>
      </c>
      <c r="H144" s="18" t="s">
        <v>270</v>
      </c>
      <c r="I144" s="5" t="n">
        <v>9</v>
      </c>
      <c r="J144" s="5" t="n">
        <v>5</v>
      </c>
      <c r="K144" s="5" t="n">
        <v>4</v>
      </c>
      <c r="L144" s="5" t="n">
        <v>8</v>
      </c>
      <c r="M144" s="5" t="n">
        <v>7</v>
      </c>
      <c r="N144" s="5" t="n">
        <v>5</v>
      </c>
      <c r="O144" s="10" t="n">
        <v>200</v>
      </c>
      <c r="P144" s="5" t="n">
        <v>4</v>
      </c>
      <c r="Q144" s="5" t="n">
        <v>4</v>
      </c>
      <c r="R144" s="6" t="s">
        <v>53</v>
      </c>
      <c r="S144" s="5" t="s">
        <v>496</v>
      </c>
      <c r="T144" s="5" t="n">
        <v>9</v>
      </c>
      <c r="U144" s="5" t="n">
        <v>5.5</v>
      </c>
      <c r="V144" s="5" t="n">
        <v>9.5</v>
      </c>
      <c r="W144" s="11" t="n">
        <f aca="false">ROUND(I144*0.15+J144*0.08+K144*0.08+L144*0.1+M144*0.08+P144*0.1+Q144*0.05+T144*0.15+U144*0.12+V144*0.09,2)</f>
        <v>6.9</v>
      </c>
    </row>
    <row r="145" customFormat="false" ht="26.85" hidden="false" customHeight="false" outlineLevel="0" collapsed="false">
      <c r="A145" s="12" t="n">
        <v>142</v>
      </c>
      <c r="B145" s="13" t="s">
        <v>548</v>
      </c>
      <c r="C145" s="13" t="s">
        <v>579</v>
      </c>
      <c r="D145" s="13" t="s">
        <v>585</v>
      </c>
      <c r="E145" s="14" t="s">
        <v>586</v>
      </c>
      <c r="F145" s="15" t="s">
        <v>587</v>
      </c>
      <c r="G145" s="13" t="s">
        <v>588</v>
      </c>
      <c r="H145" s="18" t="s">
        <v>270</v>
      </c>
      <c r="I145" s="12" t="n">
        <v>9</v>
      </c>
      <c r="J145" s="12" t="n">
        <v>3</v>
      </c>
      <c r="K145" s="12" t="n">
        <v>2</v>
      </c>
      <c r="L145" s="12" t="n">
        <v>8</v>
      </c>
      <c r="M145" s="12" t="n">
        <v>8</v>
      </c>
      <c r="N145" s="12" t="n">
        <v>5</v>
      </c>
      <c r="O145" s="16" t="n">
        <v>150</v>
      </c>
      <c r="P145" s="12" t="n">
        <v>3</v>
      </c>
      <c r="Q145" s="12" t="n">
        <v>3</v>
      </c>
      <c r="R145" s="13" t="s">
        <v>53</v>
      </c>
      <c r="S145" s="12" t="s">
        <v>62</v>
      </c>
      <c r="T145" s="12" t="n">
        <v>9</v>
      </c>
      <c r="U145" s="12" t="n">
        <v>4</v>
      </c>
      <c r="V145" s="12" t="n">
        <v>10</v>
      </c>
      <c r="W145" s="17" t="n">
        <f aca="false">ROUND(I145*0.15+J145*0.08+K145*0.08+L145*0.1+M145*0.08+P145*0.1+Q145*0.05+T145*0.15+U145*0.12+V145*0.09,2)</f>
        <v>6.37</v>
      </c>
    </row>
    <row r="146" customFormat="false" ht="15" hidden="false" customHeight="false" outlineLevel="0" collapsed="false">
      <c r="A146" s="5" t="n">
        <v>143</v>
      </c>
      <c r="B146" s="6" t="s">
        <v>589</v>
      </c>
      <c r="C146" s="6" t="s">
        <v>590</v>
      </c>
      <c r="D146" s="6" t="s">
        <v>591</v>
      </c>
      <c r="E146" s="7" t="s">
        <v>592</v>
      </c>
      <c r="F146" s="8" t="s">
        <v>593</v>
      </c>
      <c r="G146" s="6" t="s">
        <v>30</v>
      </c>
      <c r="H146" s="9" t="s">
        <v>177</v>
      </c>
      <c r="I146" s="5" t="n">
        <v>8.5</v>
      </c>
      <c r="J146" s="5" t="n">
        <v>6</v>
      </c>
      <c r="K146" s="5" t="n">
        <v>6</v>
      </c>
      <c r="L146" s="5" t="n">
        <v>8</v>
      </c>
      <c r="M146" s="5" t="n">
        <v>9</v>
      </c>
      <c r="N146" s="5" t="n">
        <v>4</v>
      </c>
      <c r="O146" s="10" t="n">
        <v>400</v>
      </c>
      <c r="P146" s="5" t="n">
        <v>7</v>
      </c>
      <c r="Q146" s="5" t="n">
        <v>7</v>
      </c>
      <c r="R146" s="6" t="s">
        <v>95</v>
      </c>
      <c r="S146" s="5" t="s">
        <v>139</v>
      </c>
      <c r="T146" s="5" t="n">
        <v>8.5</v>
      </c>
      <c r="U146" s="5" t="n">
        <v>8</v>
      </c>
      <c r="V146" s="5" t="n">
        <v>9</v>
      </c>
      <c r="W146" s="11" t="n">
        <f aca="false">ROUND(I146*0.15+J146*0.08+K146*0.08+L146*0.1+M146*0.08+P146*0.1+Q146*0.05+T146*0.15+U146*0.12+V146*0.09,2)</f>
        <v>7.85</v>
      </c>
    </row>
    <row r="147" customFormat="false" ht="15" hidden="false" customHeight="false" outlineLevel="0" collapsed="false">
      <c r="A147" s="12" t="n">
        <v>144</v>
      </c>
      <c r="B147" s="13" t="s">
        <v>589</v>
      </c>
      <c r="C147" s="13" t="s">
        <v>590</v>
      </c>
      <c r="D147" s="13" t="s">
        <v>594</v>
      </c>
      <c r="E147" s="14" t="s">
        <v>595</v>
      </c>
      <c r="F147" s="15" t="s">
        <v>596</v>
      </c>
      <c r="G147" s="13" t="s">
        <v>597</v>
      </c>
      <c r="H147" s="9" t="s">
        <v>177</v>
      </c>
      <c r="I147" s="12" t="n">
        <v>8.3</v>
      </c>
      <c r="J147" s="12" t="n">
        <v>5</v>
      </c>
      <c r="K147" s="12" t="n">
        <v>5</v>
      </c>
      <c r="L147" s="12" t="n">
        <v>8</v>
      </c>
      <c r="M147" s="12" t="n">
        <v>8</v>
      </c>
      <c r="N147" s="12" t="n">
        <v>3</v>
      </c>
      <c r="O147" s="16" t="n">
        <v>350</v>
      </c>
      <c r="P147" s="12" t="n">
        <v>6</v>
      </c>
      <c r="Q147" s="12" t="n">
        <v>7</v>
      </c>
      <c r="R147" s="13" t="s">
        <v>53</v>
      </c>
      <c r="S147" s="12" t="s">
        <v>496</v>
      </c>
      <c r="T147" s="12" t="n">
        <v>8</v>
      </c>
      <c r="U147" s="12" t="n">
        <v>7</v>
      </c>
      <c r="V147" s="12" t="n">
        <v>9</v>
      </c>
      <c r="W147" s="17" t="n">
        <f aca="false">ROUND(I147*0.15+J147*0.08+K147*0.08+L147*0.1+M147*0.08+P147*0.1+Q147*0.05+T147*0.15+U147*0.12+V147*0.09,2)</f>
        <v>7.29</v>
      </c>
    </row>
    <row r="148" customFormat="false" ht="15" hidden="false" customHeight="false" outlineLevel="0" collapsed="false">
      <c r="A148" s="5" t="n">
        <v>145</v>
      </c>
      <c r="B148" s="6" t="s">
        <v>589</v>
      </c>
      <c r="C148" s="6" t="s">
        <v>590</v>
      </c>
      <c r="D148" s="6" t="s">
        <v>598</v>
      </c>
      <c r="E148" s="7" t="s">
        <v>599</v>
      </c>
      <c r="F148" s="8" t="s">
        <v>600</v>
      </c>
      <c r="G148" s="6" t="s">
        <v>601</v>
      </c>
      <c r="H148" s="9" t="s">
        <v>177</v>
      </c>
      <c r="I148" s="5" t="n">
        <v>8.5</v>
      </c>
      <c r="J148" s="5" t="n">
        <v>6</v>
      </c>
      <c r="K148" s="5" t="n">
        <v>5</v>
      </c>
      <c r="L148" s="5" t="n">
        <v>8</v>
      </c>
      <c r="M148" s="5" t="n">
        <v>7</v>
      </c>
      <c r="N148" s="5" t="n">
        <v>4</v>
      </c>
      <c r="O148" s="10" t="n">
        <v>300</v>
      </c>
      <c r="P148" s="5" t="n">
        <v>5</v>
      </c>
      <c r="Q148" s="5" t="n">
        <v>6</v>
      </c>
      <c r="R148" s="6" t="s">
        <v>77</v>
      </c>
      <c r="S148" s="5" t="s">
        <v>78</v>
      </c>
      <c r="T148" s="5" t="n">
        <v>8</v>
      </c>
      <c r="U148" s="5" t="n">
        <v>6.5</v>
      </c>
      <c r="V148" s="5" t="n">
        <v>9</v>
      </c>
      <c r="W148" s="11" t="n">
        <f aca="false">ROUND(I148*0.15+J148*0.08+K148*0.08+L148*0.1+M148*0.08+P148*0.1+Q148*0.05+T148*0.15+U148*0.12+V148*0.09,2)</f>
        <v>7.11</v>
      </c>
    </row>
    <row r="149" customFormat="false" ht="15" hidden="false" customHeight="false" outlineLevel="0" collapsed="false">
      <c r="A149" s="12" t="n">
        <v>146</v>
      </c>
      <c r="B149" s="13" t="s">
        <v>589</v>
      </c>
      <c r="C149" s="13" t="s">
        <v>602</v>
      </c>
      <c r="D149" s="13" t="s">
        <v>603</v>
      </c>
      <c r="E149" s="14" t="s">
        <v>604</v>
      </c>
      <c r="F149" s="15" t="s">
        <v>605</v>
      </c>
      <c r="G149" s="13" t="s">
        <v>30</v>
      </c>
      <c r="H149" s="9" t="s">
        <v>177</v>
      </c>
      <c r="I149" s="12" t="n">
        <v>9</v>
      </c>
      <c r="J149" s="12" t="n">
        <v>5</v>
      </c>
      <c r="K149" s="12" t="n">
        <v>5</v>
      </c>
      <c r="L149" s="12" t="n">
        <v>8</v>
      </c>
      <c r="M149" s="12" t="n">
        <v>9</v>
      </c>
      <c r="N149" s="12" t="n">
        <v>4</v>
      </c>
      <c r="O149" s="16" t="n">
        <v>300</v>
      </c>
      <c r="P149" s="12" t="n">
        <v>6</v>
      </c>
      <c r="Q149" s="12" t="n">
        <v>7</v>
      </c>
      <c r="R149" s="13" t="s">
        <v>95</v>
      </c>
      <c r="S149" s="12" t="s">
        <v>139</v>
      </c>
      <c r="T149" s="12" t="n">
        <v>9</v>
      </c>
      <c r="U149" s="12" t="n">
        <v>7</v>
      </c>
      <c r="V149" s="12" t="n">
        <v>9.5</v>
      </c>
      <c r="W149" s="17" t="n">
        <f aca="false">ROUND(I149*0.15+J149*0.08+K149*0.08+L149*0.1+M149*0.08+P149*0.1+Q149*0.05+T149*0.15+U149*0.12+V149*0.09,2)</f>
        <v>7.67</v>
      </c>
    </row>
    <row r="150" customFormat="false" ht="15" hidden="false" customHeight="false" outlineLevel="0" collapsed="false">
      <c r="A150" s="5" t="n">
        <v>147</v>
      </c>
      <c r="B150" s="6" t="s">
        <v>589</v>
      </c>
      <c r="C150" s="6" t="s">
        <v>602</v>
      </c>
      <c r="D150" s="6" t="s">
        <v>606</v>
      </c>
      <c r="E150" s="7" t="s">
        <v>607</v>
      </c>
      <c r="F150" s="8" t="s">
        <v>608</v>
      </c>
      <c r="G150" s="6" t="s">
        <v>609</v>
      </c>
      <c r="H150" s="9" t="s">
        <v>177</v>
      </c>
      <c r="I150" s="5" t="n">
        <v>9.2</v>
      </c>
      <c r="J150" s="5" t="n">
        <v>5</v>
      </c>
      <c r="K150" s="5" t="n">
        <v>5</v>
      </c>
      <c r="L150" s="5" t="n">
        <v>9</v>
      </c>
      <c r="M150" s="5" t="n">
        <v>8</v>
      </c>
      <c r="N150" s="5" t="n">
        <v>3</v>
      </c>
      <c r="O150" s="10" t="n">
        <v>300</v>
      </c>
      <c r="P150" s="5" t="n">
        <v>5</v>
      </c>
      <c r="Q150" s="5" t="n">
        <v>7</v>
      </c>
      <c r="R150" s="6" t="s">
        <v>95</v>
      </c>
      <c r="S150" s="5" t="s">
        <v>411</v>
      </c>
      <c r="T150" s="5" t="n">
        <v>9.5</v>
      </c>
      <c r="U150" s="5" t="n">
        <v>7</v>
      </c>
      <c r="V150" s="5" t="n">
        <v>9.5</v>
      </c>
      <c r="W150" s="11" t="n">
        <f aca="false">ROUND(I150*0.15+J150*0.08+K150*0.08+L150*0.1+M150*0.08+P150*0.1+Q150*0.05+T150*0.15+U150*0.12+V150*0.09,2)</f>
        <v>7.69</v>
      </c>
    </row>
    <row r="151" customFormat="false" ht="15" hidden="false" customHeight="false" outlineLevel="0" collapsed="false">
      <c r="A151" s="12" t="n">
        <v>148</v>
      </c>
      <c r="B151" s="13" t="s">
        <v>589</v>
      </c>
      <c r="C151" s="13" t="s">
        <v>602</v>
      </c>
      <c r="D151" s="13" t="s">
        <v>610</v>
      </c>
      <c r="E151" s="14" t="s">
        <v>611</v>
      </c>
      <c r="F151" s="15" t="s">
        <v>612</v>
      </c>
      <c r="G151" s="13" t="s">
        <v>597</v>
      </c>
      <c r="H151" s="9" t="s">
        <v>177</v>
      </c>
      <c r="I151" s="12" t="n">
        <v>8</v>
      </c>
      <c r="J151" s="12" t="n">
        <v>4</v>
      </c>
      <c r="K151" s="12" t="n">
        <v>4</v>
      </c>
      <c r="L151" s="12" t="n">
        <v>7</v>
      </c>
      <c r="M151" s="12" t="n">
        <v>7</v>
      </c>
      <c r="N151" s="12" t="n">
        <v>3</v>
      </c>
      <c r="O151" s="16" t="n">
        <v>250</v>
      </c>
      <c r="P151" s="12" t="n">
        <v>5</v>
      </c>
      <c r="Q151" s="12" t="n">
        <v>7</v>
      </c>
      <c r="R151" s="13" t="s">
        <v>53</v>
      </c>
      <c r="S151" s="12" t="s">
        <v>496</v>
      </c>
      <c r="T151" s="12" t="n">
        <v>7.5</v>
      </c>
      <c r="U151" s="12" t="n">
        <v>6</v>
      </c>
      <c r="V151" s="12" t="n">
        <v>9.5</v>
      </c>
      <c r="W151" s="17" t="n">
        <f aca="false">ROUND(I151*0.15+J151*0.08+K151*0.08+L151*0.1+M151*0.08+P151*0.1+Q151*0.05+T151*0.15+U151*0.12+V151*0.09,2)</f>
        <v>6.65</v>
      </c>
    </row>
    <row r="152" customFormat="false" ht="15" hidden="false" customHeight="false" outlineLevel="0" collapsed="false">
      <c r="A152" s="5" t="n">
        <v>149</v>
      </c>
      <c r="B152" s="6" t="s">
        <v>589</v>
      </c>
      <c r="C152" s="6" t="s">
        <v>613</v>
      </c>
      <c r="D152" s="6" t="s">
        <v>614</v>
      </c>
      <c r="E152" s="7" t="s">
        <v>615</v>
      </c>
      <c r="F152" s="8" t="s">
        <v>616</v>
      </c>
      <c r="G152" s="6" t="s">
        <v>617</v>
      </c>
      <c r="H152" s="9" t="s">
        <v>31</v>
      </c>
      <c r="I152" s="5" t="n">
        <v>9.3</v>
      </c>
      <c r="J152" s="5" t="n">
        <v>6</v>
      </c>
      <c r="K152" s="5" t="n">
        <v>5</v>
      </c>
      <c r="L152" s="5" t="n">
        <v>10</v>
      </c>
      <c r="M152" s="5" t="n">
        <v>8</v>
      </c>
      <c r="N152" s="5" t="n">
        <v>4</v>
      </c>
      <c r="O152" s="10" t="n">
        <v>500</v>
      </c>
      <c r="P152" s="5" t="n">
        <v>6</v>
      </c>
      <c r="Q152" s="5" t="n">
        <v>6</v>
      </c>
      <c r="R152" s="6" t="s">
        <v>77</v>
      </c>
      <c r="S152" s="5" t="s">
        <v>411</v>
      </c>
      <c r="T152" s="5" t="n">
        <v>9.5</v>
      </c>
      <c r="U152" s="5" t="n">
        <v>8</v>
      </c>
      <c r="V152" s="5" t="n">
        <v>8.5</v>
      </c>
      <c r="W152" s="11" t="n">
        <f aca="false">ROUND(I152*0.15+J152*0.08+K152*0.08+L152*0.1+M152*0.08+P152*0.1+Q152*0.05+T152*0.15+U152*0.12+V152*0.09,2)</f>
        <v>7.97</v>
      </c>
    </row>
    <row r="153" customFormat="false" ht="15" hidden="false" customHeight="false" outlineLevel="0" collapsed="false">
      <c r="A153" s="12" t="n">
        <v>150</v>
      </c>
      <c r="B153" s="13" t="s">
        <v>589</v>
      </c>
      <c r="C153" s="13" t="s">
        <v>613</v>
      </c>
      <c r="D153" s="13" t="s">
        <v>618</v>
      </c>
      <c r="E153" s="14" t="s">
        <v>619</v>
      </c>
      <c r="F153" s="15" t="s">
        <v>620</v>
      </c>
      <c r="G153" s="13" t="s">
        <v>486</v>
      </c>
      <c r="H153" s="9" t="s">
        <v>31</v>
      </c>
      <c r="I153" s="12" t="n">
        <v>8.5</v>
      </c>
      <c r="J153" s="12" t="n">
        <v>7</v>
      </c>
      <c r="K153" s="12" t="n">
        <v>5</v>
      </c>
      <c r="L153" s="12" t="n">
        <v>9</v>
      </c>
      <c r="M153" s="12" t="n">
        <v>7</v>
      </c>
      <c r="N153" s="12" t="n">
        <v>4</v>
      </c>
      <c r="O153" s="16" t="n">
        <v>500</v>
      </c>
      <c r="P153" s="12" t="n">
        <v>6</v>
      </c>
      <c r="Q153" s="12" t="n">
        <v>6</v>
      </c>
      <c r="R153" s="13" t="s">
        <v>53</v>
      </c>
      <c r="S153" s="12" t="s">
        <v>496</v>
      </c>
      <c r="T153" s="12" t="n">
        <v>8</v>
      </c>
      <c r="U153" s="12" t="n">
        <v>8</v>
      </c>
      <c r="V153" s="12" t="n">
        <v>8</v>
      </c>
      <c r="W153" s="17" t="n">
        <f aca="false">ROUND(I153*0.15+J153*0.08+K153*0.08+L153*0.1+M153*0.08+P153*0.1+Q153*0.05+T153*0.15+U153*0.12+V153*0.09,2)</f>
        <v>7.48</v>
      </c>
    </row>
    <row r="154" customFormat="false" ht="15" hidden="false" customHeight="false" outlineLevel="0" collapsed="false">
      <c r="A154" s="5" t="n">
        <v>151</v>
      </c>
      <c r="B154" s="6" t="s">
        <v>589</v>
      </c>
      <c r="C154" s="6" t="s">
        <v>613</v>
      </c>
      <c r="D154" s="6" t="s">
        <v>621</v>
      </c>
      <c r="E154" s="7" t="s">
        <v>622</v>
      </c>
      <c r="F154" s="8" t="s">
        <v>623</v>
      </c>
      <c r="G154" s="6" t="s">
        <v>52</v>
      </c>
      <c r="H154" s="9" t="s">
        <v>31</v>
      </c>
      <c r="I154" s="5" t="n">
        <v>8.8</v>
      </c>
      <c r="J154" s="5" t="n">
        <v>4</v>
      </c>
      <c r="K154" s="5" t="n">
        <v>3</v>
      </c>
      <c r="L154" s="5" t="n">
        <v>8</v>
      </c>
      <c r="M154" s="5" t="n">
        <v>8</v>
      </c>
      <c r="N154" s="5" t="n">
        <v>7</v>
      </c>
      <c r="O154" s="10" t="n">
        <v>350</v>
      </c>
      <c r="P154" s="5" t="n">
        <v>4</v>
      </c>
      <c r="Q154" s="5" t="n">
        <v>4</v>
      </c>
      <c r="R154" s="6" t="s">
        <v>53</v>
      </c>
      <c r="S154" s="5" t="s">
        <v>496</v>
      </c>
      <c r="T154" s="5" t="n">
        <v>9</v>
      </c>
      <c r="U154" s="5" t="n">
        <v>6</v>
      </c>
      <c r="V154" s="5" t="n">
        <v>8.5</v>
      </c>
      <c r="W154" s="11" t="n">
        <f aca="false">ROUND(I154*0.15+J154*0.08+K154*0.08+L154*0.1+M154*0.08+P154*0.1+Q154*0.05+T154*0.15+U154*0.12+V154*0.09,2)</f>
        <v>6.76</v>
      </c>
    </row>
    <row r="155" customFormat="false" ht="15" hidden="false" customHeight="false" outlineLevel="0" collapsed="false">
      <c r="A155" s="12" t="n">
        <v>152</v>
      </c>
      <c r="B155" s="13" t="s">
        <v>589</v>
      </c>
      <c r="C155" s="13" t="s">
        <v>624</v>
      </c>
      <c r="D155" s="13" t="s">
        <v>625</v>
      </c>
      <c r="E155" s="14" t="s">
        <v>626</v>
      </c>
      <c r="F155" s="15" t="s">
        <v>627</v>
      </c>
      <c r="G155" s="13" t="s">
        <v>628</v>
      </c>
      <c r="H155" s="9" t="s">
        <v>629</v>
      </c>
      <c r="I155" s="12" t="n">
        <v>9</v>
      </c>
      <c r="J155" s="12" t="n">
        <v>6</v>
      </c>
      <c r="K155" s="12" t="n">
        <v>5</v>
      </c>
      <c r="L155" s="12" t="n">
        <v>9</v>
      </c>
      <c r="M155" s="12" t="n">
        <v>8</v>
      </c>
      <c r="N155" s="12" t="n">
        <v>4</v>
      </c>
      <c r="O155" s="16" t="n">
        <v>250</v>
      </c>
      <c r="P155" s="12" t="n">
        <v>5</v>
      </c>
      <c r="Q155" s="12" t="n">
        <v>6</v>
      </c>
      <c r="R155" s="13" t="s">
        <v>53</v>
      </c>
      <c r="S155" s="12" t="s">
        <v>496</v>
      </c>
      <c r="T155" s="12" t="n">
        <v>9.5</v>
      </c>
      <c r="U155" s="12" t="n">
        <v>7</v>
      </c>
      <c r="V155" s="12" t="n">
        <v>9.5</v>
      </c>
      <c r="W155" s="17" t="n">
        <f aca="false">ROUND(I155*0.15+J155*0.08+K155*0.08+L155*0.1+M155*0.08+P155*0.1+Q155*0.05+T155*0.15+U155*0.12+V155*0.09,2)</f>
        <v>7.69</v>
      </c>
    </row>
    <row r="156" customFormat="false" ht="15" hidden="false" customHeight="false" outlineLevel="0" collapsed="false">
      <c r="A156" s="5" t="n">
        <v>153</v>
      </c>
      <c r="B156" s="6" t="s">
        <v>589</v>
      </c>
      <c r="C156" s="6" t="s">
        <v>624</v>
      </c>
      <c r="D156" s="6" t="s">
        <v>630</v>
      </c>
      <c r="E156" s="7" t="s">
        <v>631</v>
      </c>
      <c r="F156" s="8" t="s">
        <v>632</v>
      </c>
      <c r="G156" s="6" t="s">
        <v>30</v>
      </c>
      <c r="H156" s="9" t="s">
        <v>629</v>
      </c>
      <c r="I156" s="5" t="n">
        <v>8</v>
      </c>
      <c r="J156" s="5" t="n">
        <v>5</v>
      </c>
      <c r="K156" s="5" t="n">
        <v>5</v>
      </c>
      <c r="L156" s="5" t="n">
        <v>7</v>
      </c>
      <c r="M156" s="5" t="n">
        <v>8</v>
      </c>
      <c r="N156" s="5" t="n">
        <v>3</v>
      </c>
      <c r="O156" s="10" t="n">
        <v>250</v>
      </c>
      <c r="P156" s="5" t="n">
        <v>6</v>
      </c>
      <c r="Q156" s="5" t="n">
        <v>7</v>
      </c>
      <c r="R156" s="6" t="s">
        <v>37</v>
      </c>
      <c r="S156" s="5" t="s">
        <v>479</v>
      </c>
      <c r="T156" s="5" t="n">
        <v>7.5</v>
      </c>
      <c r="U156" s="5" t="n">
        <v>7</v>
      </c>
      <c r="V156" s="5" t="n">
        <v>9</v>
      </c>
      <c r="W156" s="11" t="n">
        <f aca="false">ROUND(I156*0.15+J156*0.08+K156*0.08+L156*0.1+M156*0.08+P156*0.1+Q156*0.05+T156*0.15+U156*0.12+V156*0.09,2)</f>
        <v>7.07</v>
      </c>
    </row>
    <row r="157" customFormat="false" ht="15" hidden="false" customHeight="false" outlineLevel="0" collapsed="false">
      <c r="A157" s="12" t="n">
        <v>154</v>
      </c>
      <c r="B157" s="13" t="s">
        <v>589</v>
      </c>
      <c r="C157" s="13" t="s">
        <v>633</v>
      </c>
      <c r="D157" s="13" t="s">
        <v>634</v>
      </c>
      <c r="E157" s="14" t="s">
        <v>635</v>
      </c>
      <c r="F157" s="15" t="s">
        <v>636</v>
      </c>
      <c r="G157" s="13" t="s">
        <v>143</v>
      </c>
      <c r="H157" s="9" t="s">
        <v>177</v>
      </c>
      <c r="I157" s="12" t="n">
        <v>8.8</v>
      </c>
      <c r="J157" s="12" t="n">
        <v>4</v>
      </c>
      <c r="K157" s="12" t="n">
        <v>4</v>
      </c>
      <c r="L157" s="12" t="n">
        <v>8</v>
      </c>
      <c r="M157" s="12" t="n">
        <v>8</v>
      </c>
      <c r="N157" s="12" t="n">
        <v>4</v>
      </c>
      <c r="O157" s="16" t="n">
        <v>200</v>
      </c>
      <c r="P157" s="12" t="n">
        <v>5</v>
      </c>
      <c r="Q157" s="12" t="n">
        <v>6</v>
      </c>
      <c r="R157" s="13" t="s">
        <v>77</v>
      </c>
      <c r="S157" s="12" t="s">
        <v>411</v>
      </c>
      <c r="T157" s="12" t="n">
        <v>9.5</v>
      </c>
      <c r="U157" s="12" t="n">
        <v>6</v>
      </c>
      <c r="V157" s="12" t="n">
        <v>9.5</v>
      </c>
      <c r="W157" s="17" t="n">
        <f aca="false">ROUND(I157*0.15+J157*0.08+K157*0.08+L157*0.1+M157*0.08+P157*0.1+Q157*0.05+T157*0.15+U157*0.12+V157*0.09,2)</f>
        <v>7.2</v>
      </c>
    </row>
    <row r="158" customFormat="false" ht="15" hidden="false" customHeight="false" outlineLevel="0" collapsed="false">
      <c r="A158" s="5" t="n">
        <v>155</v>
      </c>
      <c r="B158" s="6" t="s">
        <v>589</v>
      </c>
      <c r="C158" s="6" t="s">
        <v>633</v>
      </c>
      <c r="D158" s="6" t="s">
        <v>637</v>
      </c>
      <c r="E158" s="7" t="s">
        <v>638</v>
      </c>
      <c r="F158" s="8" t="s">
        <v>639</v>
      </c>
      <c r="G158" s="6" t="s">
        <v>499</v>
      </c>
      <c r="H158" s="9" t="s">
        <v>177</v>
      </c>
      <c r="I158" s="5" t="n">
        <v>8.8</v>
      </c>
      <c r="J158" s="5" t="n">
        <v>5</v>
      </c>
      <c r="K158" s="5" t="n">
        <v>5</v>
      </c>
      <c r="L158" s="5" t="n">
        <v>9</v>
      </c>
      <c r="M158" s="5" t="n">
        <v>8</v>
      </c>
      <c r="N158" s="5" t="n">
        <v>4</v>
      </c>
      <c r="O158" s="10" t="n">
        <v>200</v>
      </c>
      <c r="P158" s="5" t="n">
        <v>5</v>
      </c>
      <c r="Q158" s="5" t="n">
        <v>6</v>
      </c>
      <c r="R158" s="6" t="s">
        <v>95</v>
      </c>
      <c r="S158" s="5" t="s">
        <v>139</v>
      </c>
      <c r="T158" s="5" t="n">
        <v>9</v>
      </c>
      <c r="U158" s="5" t="n">
        <v>6</v>
      </c>
      <c r="V158" s="5" t="n">
        <v>9.5</v>
      </c>
      <c r="W158" s="11" t="n">
        <f aca="false">ROUND(I158*0.15+J158*0.08+K158*0.08+L158*0.1+M158*0.08+P158*0.1+Q158*0.05+T158*0.15+U158*0.12+V158*0.09,2)</f>
        <v>7.39</v>
      </c>
    </row>
    <row r="159" customFormat="false" ht="15" hidden="false" customHeight="false" outlineLevel="0" collapsed="false">
      <c r="A159" s="12" t="n">
        <v>156</v>
      </c>
      <c r="B159" s="13" t="s">
        <v>589</v>
      </c>
      <c r="C159" s="13" t="s">
        <v>633</v>
      </c>
      <c r="D159" s="13" t="s">
        <v>640</v>
      </c>
      <c r="E159" s="14" t="s">
        <v>641</v>
      </c>
      <c r="F159" s="15" t="s">
        <v>642</v>
      </c>
      <c r="G159" s="13" t="s">
        <v>499</v>
      </c>
      <c r="H159" s="9" t="s">
        <v>177</v>
      </c>
      <c r="I159" s="12" t="n">
        <v>8.5</v>
      </c>
      <c r="J159" s="12" t="n">
        <v>4</v>
      </c>
      <c r="K159" s="12" t="n">
        <v>4</v>
      </c>
      <c r="L159" s="12" t="n">
        <v>8</v>
      </c>
      <c r="M159" s="12" t="n">
        <v>8</v>
      </c>
      <c r="N159" s="12" t="n">
        <v>3</v>
      </c>
      <c r="O159" s="16" t="n">
        <v>200</v>
      </c>
      <c r="P159" s="12" t="n">
        <v>4</v>
      </c>
      <c r="Q159" s="12" t="n">
        <v>6</v>
      </c>
      <c r="R159" s="13" t="s">
        <v>95</v>
      </c>
      <c r="S159" s="12" t="s">
        <v>139</v>
      </c>
      <c r="T159" s="12" t="n">
        <v>9</v>
      </c>
      <c r="U159" s="12" t="n">
        <v>5.5</v>
      </c>
      <c r="V159" s="12" t="n">
        <v>9.5</v>
      </c>
      <c r="W159" s="17" t="n">
        <f aca="false">ROUND(I159*0.15+J159*0.08+K159*0.08+L159*0.1+M159*0.08+P159*0.1+Q159*0.05+T159*0.15+U159*0.12+V159*0.09,2)</f>
        <v>6.92</v>
      </c>
    </row>
    <row r="160" customFormat="false" ht="15" hidden="false" customHeight="false" outlineLevel="0" collapsed="false">
      <c r="A160" s="5" t="n">
        <v>157</v>
      </c>
      <c r="B160" s="6" t="s">
        <v>589</v>
      </c>
      <c r="C160" s="6" t="s">
        <v>643</v>
      </c>
      <c r="D160" s="6" t="s">
        <v>644</v>
      </c>
      <c r="E160" s="7" t="s">
        <v>645</v>
      </c>
      <c r="F160" s="8" t="s">
        <v>646</v>
      </c>
      <c r="G160" s="6" t="s">
        <v>544</v>
      </c>
      <c r="H160" s="9" t="s">
        <v>177</v>
      </c>
      <c r="I160" s="5" t="n">
        <v>8</v>
      </c>
      <c r="J160" s="5" t="n">
        <v>5</v>
      </c>
      <c r="K160" s="5" t="n">
        <v>5</v>
      </c>
      <c r="L160" s="5" t="n">
        <v>7</v>
      </c>
      <c r="M160" s="5" t="n">
        <v>7</v>
      </c>
      <c r="N160" s="5" t="n">
        <v>3</v>
      </c>
      <c r="O160" s="10" t="n">
        <v>300</v>
      </c>
      <c r="P160" s="5" t="n">
        <v>6</v>
      </c>
      <c r="Q160" s="5" t="n">
        <v>7</v>
      </c>
      <c r="R160" s="6" t="s">
        <v>53</v>
      </c>
      <c r="S160" s="5" t="s">
        <v>62</v>
      </c>
      <c r="T160" s="5" t="n">
        <v>7.5</v>
      </c>
      <c r="U160" s="5" t="n">
        <v>7.5</v>
      </c>
      <c r="V160" s="5" t="n">
        <v>8.5</v>
      </c>
      <c r="W160" s="11" t="n">
        <f aca="false">ROUND(I160*0.15+J160*0.08+K160*0.08+L160*0.1+M160*0.08+P160*0.1+Q160*0.05+T160*0.15+U160*0.12+V160*0.09,2)</f>
        <v>7</v>
      </c>
    </row>
    <row r="161" customFormat="false" ht="15" hidden="false" customHeight="false" outlineLevel="0" collapsed="false">
      <c r="A161" s="12" t="n">
        <v>158</v>
      </c>
      <c r="B161" s="13" t="s">
        <v>589</v>
      </c>
      <c r="C161" s="13" t="s">
        <v>643</v>
      </c>
      <c r="D161" s="13" t="s">
        <v>647</v>
      </c>
      <c r="E161" s="14" t="s">
        <v>648</v>
      </c>
      <c r="F161" s="15" t="s">
        <v>649</v>
      </c>
      <c r="G161" s="13" t="s">
        <v>285</v>
      </c>
      <c r="H161" s="9" t="s">
        <v>177</v>
      </c>
      <c r="I161" s="12" t="n">
        <v>8.5</v>
      </c>
      <c r="J161" s="12" t="n">
        <v>5</v>
      </c>
      <c r="K161" s="12" t="n">
        <v>5</v>
      </c>
      <c r="L161" s="12" t="n">
        <v>7</v>
      </c>
      <c r="M161" s="12" t="n">
        <v>7</v>
      </c>
      <c r="N161" s="12" t="n">
        <v>3</v>
      </c>
      <c r="O161" s="16" t="n">
        <v>250</v>
      </c>
      <c r="P161" s="12" t="n">
        <v>5</v>
      </c>
      <c r="Q161" s="12" t="n">
        <v>7</v>
      </c>
      <c r="R161" s="13" t="s">
        <v>53</v>
      </c>
      <c r="S161" s="12" t="s">
        <v>62</v>
      </c>
      <c r="T161" s="12" t="n">
        <v>8.5</v>
      </c>
      <c r="U161" s="12" t="n">
        <v>7</v>
      </c>
      <c r="V161" s="12" t="n">
        <v>9</v>
      </c>
      <c r="W161" s="17" t="n">
        <f aca="false">ROUND(I161*0.15+J161*0.08+K161*0.08+L161*0.1+M161*0.08+P161*0.1+Q161*0.05+T161*0.15+U161*0.12+V161*0.09,2)</f>
        <v>7.11</v>
      </c>
    </row>
    <row r="162" customFormat="false" ht="22.35" hidden="false" customHeight="false" outlineLevel="0" collapsed="false">
      <c r="A162" s="5" t="n">
        <v>159</v>
      </c>
      <c r="B162" s="6" t="s">
        <v>589</v>
      </c>
      <c r="C162" s="6" t="s">
        <v>650</v>
      </c>
      <c r="D162" s="6" t="s">
        <v>651</v>
      </c>
      <c r="E162" s="7" t="s">
        <v>652</v>
      </c>
      <c r="F162" s="8" t="s">
        <v>653</v>
      </c>
      <c r="G162" s="6" t="s">
        <v>30</v>
      </c>
      <c r="H162" s="9" t="s">
        <v>654</v>
      </c>
      <c r="I162" s="5" t="n">
        <v>9.5</v>
      </c>
      <c r="J162" s="5" t="n">
        <v>6</v>
      </c>
      <c r="K162" s="5" t="n">
        <v>5</v>
      </c>
      <c r="L162" s="5" t="n">
        <v>9</v>
      </c>
      <c r="M162" s="5" t="n">
        <v>9</v>
      </c>
      <c r="N162" s="5" t="n">
        <v>4</v>
      </c>
      <c r="O162" s="10" t="n">
        <v>700</v>
      </c>
      <c r="P162" s="5" t="n">
        <v>8</v>
      </c>
      <c r="Q162" s="5" t="n">
        <v>6</v>
      </c>
      <c r="R162" s="6" t="s">
        <v>53</v>
      </c>
      <c r="S162" s="5" t="s">
        <v>309</v>
      </c>
      <c r="T162" s="5" t="n">
        <v>10</v>
      </c>
      <c r="U162" s="5" t="n">
        <v>9</v>
      </c>
      <c r="V162" s="5" t="n">
        <v>8</v>
      </c>
      <c r="W162" s="11" t="n">
        <f aca="false">ROUND(I162*0.15+J162*0.08+K162*0.08+L162*0.1+M162*0.08+P162*0.1+Q162*0.05+T162*0.15+U162*0.12+V162*0.09,2)</f>
        <v>8.33</v>
      </c>
    </row>
    <row r="163" customFormat="false" ht="22.35" hidden="false" customHeight="false" outlineLevel="0" collapsed="false">
      <c r="A163" s="12" t="n">
        <v>160</v>
      </c>
      <c r="B163" s="13" t="s">
        <v>589</v>
      </c>
      <c r="C163" s="13" t="s">
        <v>650</v>
      </c>
      <c r="D163" s="13" t="s">
        <v>655</v>
      </c>
      <c r="E163" s="14" t="s">
        <v>656</v>
      </c>
      <c r="F163" s="15" t="s">
        <v>657</v>
      </c>
      <c r="G163" s="13" t="s">
        <v>466</v>
      </c>
      <c r="H163" s="9" t="s">
        <v>654</v>
      </c>
      <c r="I163" s="12" t="n">
        <v>9.5</v>
      </c>
      <c r="J163" s="12" t="n">
        <v>6</v>
      </c>
      <c r="K163" s="12" t="n">
        <v>6</v>
      </c>
      <c r="L163" s="12" t="n">
        <v>9</v>
      </c>
      <c r="M163" s="12" t="n">
        <v>9</v>
      </c>
      <c r="N163" s="12" t="n">
        <v>4</v>
      </c>
      <c r="O163" s="16" t="n">
        <v>700</v>
      </c>
      <c r="P163" s="12" t="n">
        <v>7</v>
      </c>
      <c r="Q163" s="12" t="n">
        <v>6</v>
      </c>
      <c r="R163" s="13" t="s">
        <v>53</v>
      </c>
      <c r="S163" s="12" t="s">
        <v>309</v>
      </c>
      <c r="T163" s="12" t="n">
        <v>10</v>
      </c>
      <c r="U163" s="12" t="n">
        <v>9</v>
      </c>
      <c r="V163" s="12" t="n">
        <v>8</v>
      </c>
      <c r="W163" s="17" t="n">
        <f aca="false">ROUND(I163*0.15+J163*0.08+K163*0.08+L163*0.1+M163*0.08+P163*0.1+Q163*0.05+T163*0.15+U163*0.12+V163*0.09,2)</f>
        <v>8.31</v>
      </c>
    </row>
    <row r="164" customFormat="false" ht="22.35" hidden="false" customHeight="false" outlineLevel="0" collapsed="false">
      <c r="A164" s="5" t="n">
        <v>161</v>
      </c>
      <c r="B164" s="6" t="s">
        <v>589</v>
      </c>
      <c r="C164" s="6" t="s">
        <v>650</v>
      </c>
      <c r="D164" s="6" t="s">
        <v>655</v>
      </c>
      <c r="E164" s="7" t="s">
        <v>658</v>
      </c>
      <c r="F164" s="8" t="s">
        <v>659</v>
      </c>
      <c r="G164" s="6" t="s">
        <v>660</v>
      </c>
      <c r="H164" s="9" t="s">
        <v>654</v>
      </c>
      <c r="I164" s="5" t="n">
        <v>9.3</v>
      </c>
      <c r="J164" s="5" t="n">
        <v>7</v>
      </c>
      <c r="K164" s="5" t="n">
        <v>6</v>
      </c>
      <c r="L164" s="5" t="n">
        <v>9</v>
      </c>
      <c r="M164" s="5" t="n">
        <v>8</v>
      </c>
      <c r="N164" s="5" t="n">
        <v>4</v>
      </c>
      <c r="O164" s="10" t="n">
        <v>700</v>
      </c>
      <c r="P164" s="5" t="n">
        <v>7</v>
      </c>
      <c r="Q164" s="5" t="n">
        <v>5</v>
      </c>
      <c r="R164" s="6" t="s">
        <v>53</v>
      </c>
      <c r="S164" s="5" t="s">
        <v>309</v>
      </c>
      <c r="T164" s="5" t="n">
        <v>9.5</v>
      </c>
      <c r="U164" s="5" t="n">
        <v>8.5</v>
      </c>
      <c r="V164" s="5" t="n">
        <v>7.5</v>
      </c>
      <c r="W164" s="11" t="n">
        <f aca="false">ROUND(I164*0.15+J164*0.08+K164*0.08+L164*0.1+M164*0.08+P164*0.1+Q164*0.05+T164*0.15+U164*0.12+V164*0.09,2)</f>
        <v>8.05</v>
      </c>
    </row>
    <row r="165" customFormat="false" ht="22.35" hidden="false" customHeight="false" outlineLevel="0" collapsed="false">
      <c r="A165" s="12" t="n">
        <v>162</v>
      </c>
      <c r="B165" s="13" t="s">
        <v>589</v>
      </c>
      <c r="C165" s="13" t="s">
        <v>650</v>
      </c>
      <c r="D165" s="13" t="s">
        <v>651</v>
      </c>
      <c r="E165" s="14" t="s">
        <v>661</v>
      </c>
      <c r="F165" s="15" t="s">
        <v>662</v>
      </c>
      <c r="G165" s="13" t="s">
        <v>372</v>
      </c>
      <c r="H165" s="9" t="s">
        <v>654</v>
      </c>
      <c r="I165" s="12" t="n">
        <v>9.3</v>
      </c>
      <c r="J165" s="12" t="n">
        <v>6</v>
      </c>
      <c r="K165" s="12" t="n">
        <v>6</v>
      </c>
      <c r="L165" s="12" t="n">
        <v>9</v>
      </c>
      <c r="M165" s="12" t="n">
        <v>9</v>
      </c>
      <c r="N165" s="12" t="n">
        <v>2</v>
      </c>
      <c r="O165" s="16" t="n">
        <v>700</v>
      </c>
      <c r="P165" s="12" t="n">
        <v>8</v>
      </c>
      <c r="Q165" s="12" t="n">
        <v>7</v>
      </c>
      <c r="R165" s="13" t="s">
        <v>53</v>
      </c>
      <c r="S165" s="12" t="s">
        <v>309</v>
      </c>
      <c r="T165" s="12" t="n">
        <v>9.5</v>
      </c>
      <c r="U165" s="12" t="n">
        <v>9</v>
      </c>
      <c r="V165" s="12" t="n">
        <v>7.5</v>
      </c>
      <c r="W165" s="17" t="n">
        <f aca="false">ROUND(I165*0.15+J165*0.08+K165*0.08+L165*0.1+M165*0.08+P165*0.1+Q165*0.05+T165*0.15+U165*0.12+V165*0.09,2)</f>
        <v>8.31</v>
      </c>
    </row>
    <row r="166" customFormat="false" ht="22.35" hidden="false" customHeight="false" outlineLevel="0" collapsed="false">
      <c r="A166" s="5" t="n">
        <v>163</v>
      </c>
      <c r="B166" s="6" t="s">
        <v>589</v>
      </c>
      <c r="C166" s="6" t="s">
        <v>650</v>
      </c>
      <c r="D166" s="6" t="s">
        <v>663</v>
      </c>
      <c r="E166" s="7" t="s">
        <v>663</v>
      </c>
      <c r="F166" s="8" t="s">
        <v>664</v>
      </c>
      <c r="G166" s="6" t="s">
        <v>440</v>
      </c>
      <c r="H166" s="9" t="s">
        <v>654</v>
      </c>
      <c r="I166" s="5" t="n">
        <v>9.5</v>
      </c>
      <c r="J166" s="5" t="n">
        <v>5</v>
      </c>
      <c r="K166" s="5" t="n">
        <v>3</v>
      </c>
      <c r="L166" s="5" t="n">
        <v>9</v>
      </c>
      <c r="M166" s="5" t="n">
        <v>8</v>
      </c>
      <c r="N166" s="5" t="n">
        <v>6</v>
      </c>
      <c r="O166" s="10" t="n">
        <v>600</v>
      </c>
      <c r="P166" s="5" t="n">
        <v>5</v>
      </c>
      <c r="Q166" s="5" t="n">
        <v>3</v>
      </c>
      <c r="R166" s="6" t="s">
        <v>665</v>
      </c>
      <c r="S166" s="5" t="s">
        <v>666</v>
      </c>
      <c r="T166" s="5" t="n">
        <v>10</v>
      </c>
      <c r="U166" s="5" t="n">
        <v>6</v>
      </c>
      <c r="V166" s="5" t="n">
        <v>8</v>
      </c>
      <c r="W166" s="11" t="n">
        <f aca="false">ROUND(I166*0.15+J166*0.08+K166*0.08+L166*0.1+M166*0.08+P166*0.1+Q166*0.05+T166*0.15+U166*0.12+V166*0.09,2)</f>
        <v>7.2</v>
      </c>
    </row>
    <row r="167" customFormat="false" ht="22.35" hidden="false" customHeight="false" outlineLevel="0" collapsed="false">
      <c r="A167" s="12" t="n">
        <v>164</v>
      </c>
      <c r="B167" s="13" t="s">
        <v>589</v>
      </c>
      <c r="C167" s="13" t="s">
        <v>650</v>
      </c>
      <c r="D167" s="13" t="s">
        <v>667</v>
      </c>
      <c r="E167" s="14" t="s">
        <v>668</v>
      </c>
      <c r="F167" s="15" t="s">
        <v>669</v>
      </c>
      <c r="G167" s="13" t="s">
        <v>670</v>
      </c>
      <c r="H167" s="9" t="s">
        <v>654</v>
      </c>
      <c r="I167" s="12" t="n">
        <v>8.5</v>
      </c>
      <c r="J167" s="12" t="n">
        <v>7</v>
      </c>
      <c r="K167" s="12" t="n">
        <v>5</v>
      </c>
      <c r="L167" s="12" t="n">
        <v>8</v>
      </c>
      <c r="M167" s="12" t="n">
        <v>7</v>
      </c>
      <c r="N167" s="12" t="n">
        <v>5</v>
      </c>
      <c r="O167" s="16" t="n">
        <v>600</v>
      </c>
      <c r="P167" s="12" t="n">
        <v>6</v>
      </c>
      <c r="Q167" s="12" t="n">
        <v>5</v>
      </c>
      <c r="R167" s="13" t="s">
        <v>665</v>
      </c>
      <c r="S167" s="12" t="s">
        <v>671</v>
      </c>
      <c r="T167" s="12" t="n">
        <v>7.5</v>
      </c>
      <c r="U167" s="12" t="n">
        <v>8</v>
      </c>
      <c r="V167" s="12" t="n">
        <v>7.5</v>
      </c>
      <c r="W167" s="17" t="n">
        <f aca="false">ROUND(I167*0.15+J167*0.08+K167*0.08+L167*0.1+M167*0.08+P167*0.1+Q167*0.05+T167*0.15+U167*0.12+V167*0.09,2)</f>
        <v>7.21</v>
      </c>
    </row>
    <row r="168" customFormat="false" ht="26.85" hidden="false" customHeight="false" outlineLevel="0" collapsed="false">
      <c r="A168" s="5" t="n">
        <v>165</v>
      </c>
      <c r="B168" s="6" t="s">
        <v>589</v>
      </c>
      <c r="C168" s="6" t="s">
        <v>650</v>
      </c>
      <c r="D168" s="6" t="s">
        <v>672</v>
      </c>
      <c r="E168" s="7" t="s">
        <v>673</v>
      </c>
      <c r="F168" s="8" t="s">
        <v>674</v>
      </c>
      <c r="G168" s="6" t="s">
        <v>675</v>
      </c>
      <c r="H168" s="9" t="s">
        <v>676</v>
      </c>
      <c r="I168" s="5" t="n">
        <v>8.3</v>
      </c>
      <c r="J168" s="5" t="n">
        <v>5</v>
      </c>
      <c r="K168" s="5" t="n">
        <v>5</v>
      </c>
      <c r="L168" s="5" t="n">
        <v>8</v>
      </c>
      <c r="M168" s="5" t="n">
        <v>8</v>
      </c>
      <c r="N168" s="5" t="n">
        <v>3</v>
      </c>
      <c r="O168" s="10" t="n">
        <v>500</v>
      </c>
      <c r="P168" s="5" t="n">
        <v>7</v>
      </c>
      <c r="Q168" s="5" t="n">
        <v>6</v>
      </c>
      <c r="R168" s="6" t="s">
        <v>77</v>
      </c>
      <c r="S168" s="5" t="s">
        <v>78</v>
      </c>
      <c r="T168" s="5" t="n">
        <v>7.5</v>
      </c>
      <c r="U168" s="5" t="n">
        <v>7.5</v>
      </c>
      <c r="V168" s="5" t="n">
        <v>8</v>
      </c>
      <c r="W168" s="11" t="n">
        <f aca="false">ROUND(I168*0.15+J168*0.08+K168*0.08+L168*0.1+M168*0.08+P168*0.1+Q168*0.05+T168*0.15+U168*0.12+V168*0.09,2)</f>
        <v>7.23</v>
      </c>
    </row>
    <row r="169" customFormat="false" ht="22.35" hidden="false" customHeight="false" outlineLevel="0" collapsed="false">
      <c r="A169" s="12" t="n">
        <v>166</v>
      </c>
      <c r="B169" s="13" t="s">
        <v>589</v>
      </c>
      <c r="C169" s="13" t="s">
        <v>650</v>
      </c>
      <c r="D169" s="13" t="s">
        <v>677</v>
      </c>
      <c r="E169" s="14" t="s">
        <v>678</v>
      </c>
      <c r="F169" s="15" t="s">
        <v>679</v>
      </c>
      <c r="G169" s="13" t="s">
        <v>30</v>
      </c>
      <c r="H169" s="9" t="s">
        <v>654</v>
      </c>
      <c r="I169" s="12" t="n">
        <v>8.5</v>
      </c>
      <c r="J169" s="12" t="n">
        <v>5</v>
      </c>
      <c r="K169" s="12" t="n">
        <v>5</v>
      </c>
      <c r="L169" s="12" t="n">
        <v>8</v>
      </c>
      <c r="M169" s="12" t="n">
        <v>8</v>
      </c>
      <c r="N169" s="12" t="n">
        <v>3</v>
      </c>
      <c r="O169" s="16" t="n">
        <v>500</v>
      </c>
      <c r="P169" s="12" t="n">
        <v>6</v>
      </c>
      <c r="Q169" s="12" t="n">
        <v>6</v>
      </c>
      <c r="R169" s="13" t="s">
        <v>53</v>
      </c>
      <c r="S169" s="12" t="s">
        <v>496</v>
      </c>
      <c r="T169" s="12" t="n">
        <v>9</v>
      </c>
      <c r="U169" s="12" t="n">
        <v>8</v>
      </c>
      <c r="V169" s="12" t="n">
        <v>8.5</v>
      </c>
      <c r="W169" s="17" t="n">
        <f aca="false">ROUND(I169*0.15+J169*0.08+K169*0.08+L169*0.1+M169*0.08+P169*0.1+Q169*0.05+T169*0.15+U169*0.12+V169*0.09,2)</f>
        <v>7.49</v>
      </c>
    </row>
    <row r="170" customFormat="false" ht="15" hidden="false" customHeight="false" outlineLevel="0" collapsed="false">
      <c r="A170" s="5" t="n">
        <v>167</v>
      </c>
      <c r="B170" s="6" t="s">
        <v>589</v>
      </c>
      <c r="C170" s="6" t="s">
        <v>680</v>
      </c>
      <c r="D170" s="6" t="s">
        <v>681</v>
      </c>
      <c r="E170" s="7" t="s">
        <v>682</v>
      </c>
      <c r="F170" s="8" t="s">
        <v>683</v>
      </c>
      <c r="G170" s="6" t="s">
        <v>684</v>
      </c>
      <c r="H170" s="9" t="s">
        <v>31</v>
      </c>
      <c r="I170" s="5" t="n">
        <v>9.5</v>
      </c>
      <c r="J170" s="5" t="n">
        <v>5</v>
      </c>
      <c r="K170" s="5" t="n">
        <v>5</v>
      </c>
      <c r="L170" s="5" t="n">
        <v>10</v>
      </c>
      <c r="M170" s="5" t="n">
        <v>8</v>
      </c>
      <c r="N170" s="5" t="n">
        <v>4</v>
      </c>
      <c r="O170" s="10" t="n">
        <v>800</v>
      </c>
      <c r="P170" s="5" t="n">
        <v>6</v>
      </c>
      <c r="Q170" s="5" t="n">
        <v>6</v>
      </c>
      <c r="R170" s="6" t="s">
        <v>77</v>
      </c>
      <c r="S170" s="5" t="s">
        <v>411</v>
      </c>
      <c r="T170" s="5" t="n">
        <v>10</v>
      </c>
      <c r="U170" s="5" t="n">
        <v>8.5</v>
      </c>
      <c r="V170" s="5" t="n">
        <v>7.5</v>
      </c>
      <c r="W170" s="11" t="n">
        <f aca="false">ROUND(I170*0.15+J170*0.08+K170*0.08+L170*0.1+M170*0.08+P170*0.1+Q170*0.05+T170*0.15+U170*0.12+V170*0.09,2)</f>
        <v>7.96</v>
      </c>
    </row>
    <row r="171" customFormat="false" ht="15" hidden="false" customHeight="false" outlineLevel="0" collapsed="false">
      <c r="A171" s="12" t="n">
        <v>168</v>
      </c>
      <c r="B171" s="13" t="s">
        <v>589</v>
      </c>
      <c r="C171" s="13" t="s">
        <v>680</v>
      </c>
      <c r="D171" s="13" t="s">
        <v>685</v>
      </c>
      <c r="E171" s="14" t="s">
        <v>686</v>
      </c>
      <c r="F171" s="15" t="s">
        <v>687</v>
      </c>
      <c r="G171" s="13" t="s">
        <v>688</v>
      </c>
      <c r="H171" s="9" t="s">
        <v>31</v>
      </c>
      <c r="I171" s="12" t="n">
        <v>9.5</v>
      </c>
      <c r="J171" s="12" t="n">
        <v>6</v>
      </c>
      <c r="K171" s="12" t="n">
        <v>4</v>
      </c>
      <c r="L171" s="12" t="n">
        <v>9</v>
      </c>
      <c r="M171" s="12" t="n">
        <v>8</v>
      </c>
      <c r="N171" s="12" t="n">
        <v>5</v>
      </c>
      <c r="O171" s="16" t="n">
        <v>600</v>
      </c>
      <c r="P171" s="12" t="n">
        <v>5</v>
      </c>
      <c r="Q171" s="12" t="n">
        <v>6</v>
      </c>
      <c r="R171" s="13" t="s">
        <v>95</v>
      </c>
      <c r="S171" s="12" t="s">
        <v>411</v>
      </c>
      <c r="T171" s="12" t="n">
        <v>10</v>
      </c>
      <c r="U171" s="12" t="n">
        <v>8</v>
      </c>
      <c r="V171" s="12" t="n">
        <v>8</v>
      </c>
      <c r="W171" s="17" t="n">
        <f aca="false">ROUND(I171*0.15+J171*0.08+K171*0.08+L171*0.1+M171*0.08+P171*0.1+Q171*0.05+T171*0.15+U171*0.12+V171*0.09,2)</f>
        <v>7.75</v>
      </c>
    </row>
    <row r="172" customFormat="false" ht="15" hidden="false" customHeight="false" outlineLevel="0" collapsed="false">
      <c r="A172" s="5" t="n">
        <v>169</v>
      </c>
      <c r="B172" s="6" t="s">
        <v>589</v>
      </c>
      <c r="C172" s="6" t="s">
        <v>680</v>
      </c>
      <c r="D172" s="6" t="s">
        <v>689</v>
      </c>
      <c r="E172" s="7" t="s">
        <v>690</v>
      </c>
      <c r="F172" s="8" t="s">
        <v>691</v>
      </c>
      <c r="G172" s="6" t="s">
        <v>609</v>
      </c>
      <c r="H172" s="9" t="s">
        <v>31</v>
      </c>
      <c r="I172" s="5" t="n">
        <v>8.8</v>
      </c>
      <c r="J172" s="5" t="n">
        <v>5</v>
      </c>
      <c r="K172" s="5" t="n">
        <v>5</v>
      </c>
      <c r="L172" s="5" t="n">
        <v>9</v>
      </c>
      <c r="M172" s="5" t="n">
        <v>8</v>
      </c>
      <c r="N172" s="5" t="n">
        <v>4</v>
      </c>
      <c r="O172" s="10" t="n">
        <v>700</v>
      </c>
      <c r="P172" s="5" t="n">
        <v>7</v>
      </c>
      <c r="Q172" s="5" t="n">
        <v>6</v>
      </c>
      <c r="R172" s="6" t="s">
        <v>53</v>
      </c>
      <c r="S172" s="5" t="s">
        <v>411</v>
      </c>
      <c r="T172" s="5" t="n">
        <v>9</v>
      </c>
      <c r="U172" s="5" t="n">
        <v>8</v>
      </c>
      <c r="V172" s="5" t="n">
        <v>7.5</v>
      </c>
      <c r="W172" s="11" t="n">
        <f aca="false">ROUND(I172*0.15+J172*0.08+K172*0.08+L172*0.1+M172*0.08+P172*0.1+Q172*0.05+T172*0.15+U172*0.12+V172*0.09,2)</f>
        <v>7.65</v>
      </c>
    </row>
    <row r="173" customFormat="false" ht="15" hidden="false" customHeight="false" outlineLevel="0" collapsed="false">
      <c r="A173" s="12" t="n">
        <v>170</v>
      </c>
      <c r="B173" s="13" t="s">
        <v>589</v>
      </c>
      <c r="C173" s="13" t="s">
        <v>692</v>
      </c>
      <c r="D173" s="13" t="s">
        <v>693</v>
      </c>
      <c r="E173" s="14" t="s">
        <v>694</v>
      </c>
      <c r="F173" s="15" t="s">
        <v>695</v>
      </c>
      <c r="G173" s="13" t="s">
        <v>609</v>
      </c>
      <c r="H173" s="9" t="s">
        <v>31</v>
      </c>
      <c r="I173" s="12" t="n">
        <v>9.3</v>
      </c>
      <c r="J173" s="12" t="n">
        <v>6</v>
      </c>
      <c r="K173" s="12" t="n">
        <v>6</v>
      </c>
      <c r="L173" s="12" t="n">
        <v>10</v>
      </c>
      <c r="M173" s="12" t="n">
        <v>9</v>
      </c>
      <c r="N173" s="12" t="n">
        <v>4</v>
      </c>
      <c r="O173" s="16" t="n">
        <v>600</v>
      </c>
      <c r="P173" s="12" t="n">
        <v>8</v>
      </c>
      <c r="Q173" s="12" t="n">
        <v>7</v>
      </c>
      <c r="R173" s="13" t="s">
        <v>95</v>
      </c>
      <c r="S173" s="12" t="s">
        <v>139</v>
      </c>
      <c r="T173" s="12" t="n">
        <v>9</v>
      </c>
      <c r="U173" s="12" t="n">
        <v>9</v>
      </c>
      <c r="V173" s="12" t="n">
        <v>8.5</v>
      </c>
      <c r="W173" s="17" t="n">
        <f aca="false">ROUND(I173*0.15+J173*0.08+K173*0.08+L173*0.1+M173*0.08+P173*0.1+Q173*0.05+T173*0.15+U173*0.12+V173*0.09,2)</f>
        <v>8.42</v>
      </c>
    </row>
    <row r="174" customFormat="false" ht="15" hidden="false" customHeight="false" outlineLevel="0" collapsed="false">
      <c r="A174" s="5" t="n">
        <v>171</v>
      </c>
      <c r="B174" s="6" t="s">
        <v>589</v>
      </c>
      <c r="C174" s="6" t="s">
        <v>692</v>
      </c>
      <c r="D174" s="6" t="s">
        <v>693</v>
      </c>
      <c r="E174" s="7" t="s">
        <v>696</v>
      </c>
      <c r="F174" s="8" t="s">
        <v>697</v>
      </c>
      <c r="G174" s="6" t="s">
        <v>698</v>
      </c>
      <c r="H174" s="9" t="s">
        <v>31</v>
      </c>
      <c r="I174" s="5" t="n">
        <v>9</v>
      </c>
      <c r="J174" s="5" t="n">
        <v>6</v>
      </c>
      <c r="K174" s="5" t="n">
        <v>8</v>
      </c>
      <c r="L174" s="5" t="n">
        <v>9</v>
      </c>
      <c r="M174" s="5" t="n">
        <v>8</v>
      </c>
      <c r="N174" s="5" t="n">
        <v>3</v>
      </c>
      <c r="O174" s="10" t="n">
        <v>600</v>
      </c>
      <c r="P174" s="5" t="n">
        <v>8</v>
      </c>
      <c r="Q174" s="5" t="n">
        <v>8</v>
      </c>
      <c r="R174" s="6" t="s">
        <v>32</v>
      </c>
      <c r="S174" s="6" t="s">
        <v>221</v>
      </c>
      <c r="T174" s="5" t="n">
        <v>8</v>
      </c>
      <c r="U174" s="5" t="n">
        <v>9</v>
      </c>
      <c r="V174" s="5" t="n">
        <v>8</v>
      </c>
      <c r="W174" s="11" t="n">
        <f aca="false">ROUND(I174*0.15+J174*0.08+K174*0.08+L174*0.1+M174*0.08+P174*0.1+Q174*0.05+T174*0.15+U174*0.12+V174*0.09,2)</f>
        <v>8.21</v>
      </c>
    </row>
    <row r="175" customFormat="false" ht="15" hidden="false" customHeight="false" outlineLevel="0" collapsed="false">
      <c r="A175" s="12" t="n">
        <v>172</v>
      </c>
      <c r="B175" s="13" t="s">
        <v>589</v>
      </c>
      <c r="C175" s="13" t="s">
        <v>692</v>
      </c>
      <c r="D175" s="13" t="s">
        <v>693</v>
      </c>
      <c r="E175" s="14" t="s">
        <v>699</v>
      </c>
      <c r="F175" s="15" t="s">
        <v>700</v>
      </c>
      <c r="G175" s="13" t="s">
        <v>701</v>
      </c>
      <c r="H175" s="9" t="s">
        <v>31</v>
      </c>
      <c r="I175" s="12" t="n">
        <v>9.2</v>
      </c>
      <c r="J175" s="12" t="n">
        <v>6</v>
      </c>
      <c r="K175" s="12" t="n">
        <v>7</v>
      </c>
      <c r="L175" s="12" t="n">
        <v>10</v>
      </c>
      <c r="M175" s="12" t="n">
        <v>8</v>
      </c>
      <c r="N175" s="12" t="n">
        <v>3</v>
      </c>
      <c r="O175" s="16" t="n">
        <v>600</v>
      </c>
      <c r="P175" s="12" t="n">
        <v>8</v>
      </c>
      <c r="Q175" s="12" t="n">
        <v>8</v>
      </c>
      <c r="R175" s="13" t="s">
        <v>95</v>
      </c>
      <c r="S175" s="12" t="s">
        <v>139</v>
      </c>
      <c r="T175" s="12" t="n">
        <v>9</v>
      </c>
      <c r="U175" s="12" t="n">
        <v>9</v>
      </c>
      <c r="V175" s="12" t="n">
        <v>8</v>
      </c>
      <c r="W175" s="17" t="n">
        <f aca="false">ROUND(I175*0.15+J175*0.08+K175*0.08+L175*0.1+M175*0.08+P175*0.1+Q175*0.05+T175*0.15+U175*0.12+V175*0.09,2)</f>
        <v>8.41</v>
      </c>
    </row>
    <row r="176" customFormat="false" ht="15" hidden="false" customHeight="false" outlineLevel="0" collapsed="false">
      <c r="A176" s="5" t="n">
        <v>173</v>
      </c>
      <c r="B176" s="6" t="s">
        <v>589</v>
      </c>
      <c r="C176" s="6" t="s">
        <v>702</v>
      </c>
      <c r="D176" s="6" t="s">
        <v>703</v>
      </c>
      <c r="E176" s="7" t="s">
        <v>704</v>
      </c>
      <c r="F176" s="8" t="s">
        <v>705</v>
      </c>
      <c r="G176" s="6" t="s">
        <v>372</v>
      </c>
      <c r="H176" s="9" t="s">
        <v>31</v>
      </c>
      <c r="I176" s="5" t="n">
        <v>8.5</v>
      </c>
      <c r="J176" s="5" t="n">
        <v>5</v>
      </c>
      <c r="K176" s="5" t="n">
        <v>5</v>
      </c>
      <c r="L176" s="5" t="n">
        <v>8</v>
      </c>
      <c r="M176" s="5" t="n">
        <v>8</v>
      </c>
      <c r="N176" s="5" t="n">
        <v>2</v>
      </c>
      <c r="O176" s="10" t="n">
        <v>300</v>
      </c>
      <c r="P176" s="5" t="n">
        <v>6</v>
      </c>
      <c r="Q176" s="5" t="n">
        <v>7</v>
      </c>
      <c r="R176" s="6" t="s">
        <v>53</v>
      </c>
      <c r="S176" s="5" t="s">
        <v>309</v>
      </c>
      <c r="T176" s="5" t="n">
        <v>8.5</v>
      </c>
      <c r="U176" s="5" t="n">
        <v>7.5</v>
      </c>
      <c r="V176" s="5" t="n">
        <v>9</v>
      </c>
      <c r="W176" s="11" t="n">
        <f aca="false">ROUND(I176*0.15+J176*0.08+K176*0.08+L176*0.1+M176*0.08+P176*0.1+Q176*0.05+T176*0.15+U176*0.12+V176*0.09,2)</f>
        <v>7.45</v>
      </c>
    </row>
    <row r="177" customFormat="false" ht="15" hidden="false" customHeight="false" outlineLevel="0" collapsed="false">
      <c r="A177" s="12" t="n">
        <v>174</v>
      </c>
      <c r="B177" s="13" t="s">
        <v>589</v>
      </c>
      <c r="C177" s="13" t="s">
        <v>702</v>
      </c>
      <c r="D177" s="13" t="s">
        <v>706</v>
      </c>
      <c r="E177" s="14" t="s">
        <v>707</v>
      </c>
      <c r="F177" s="15" t="s">
        <v>708</v>
      </c>
      <c r="G177" s="13" t="s">
        <v>41</v>
      </c>
      <c r="H177" s="9" t="s">
        <v>31</v>
      </c>
      <c r="I177" s="12" t="n">
        <v>9</v>
      </c>
      <c r="J177" s="12" t="n">
        <v>5</v>
      </c>
      <c r="K177" s="12" t="n">
        <v>5</v>
      </c>
      <c r="L177" s="12" t="n">
        <v>8</v>
      </c>
      <c r="M177" s="12" t="n">
        <v>8</v>
      </c>
      <c r="N177" s="12" t="n">
        <v>4</v>
      </c>
      <c r="O177" s="16" t="n">
        <v>300</v>
      </c>
      <c r="P177" s="12" t="n">
        <v>5</v>
      </c>
      <c r="Q177" s="12" t="n">
        <v>6</v>
      </c>
      <c r="R177" s="13" t="s">
        <v>77</v>
      </c>
      <c r="S177" s="12" t="s">
        <v>411</v>
      </c>
      <c r="T177" s="12" t="n">
        <v>9.5</v>
      </c>
      <c r="U177" s="12" t="n">
        <v>7</v>
      </c>
      <c r="V177" s="12" t="n">
        <v>9.5</v>
      </c>
      <c r="W177" s="17" t="n">
        <f aca="false">ROUND(I177*0.15+J177*0.08+K177*0.08+L177*0.1+M177*0.08+P177*0.1+Q177*0.05+T177*0.15+U177*0.12+V177*0.09,2)</f>
        <v>7.51</v>
      </c>
    </row>
    <row r="178" customFormat="false" ht="15" hidden="false" customHeight="false" outlineLevel="0" collapsed="false">
      <c r="A178" s="5" t="n">
        <v>175</v>
      </c>
      <c r="B178" s="6" t="s">
        <v>589</v>
      </c>
      <c r="C178" s="6" t="s">
        <v>709</v>
      </c>
      <c r="D178" s="6" t="s">
        <v>710</v>
      </c>
      <c r="E178" s="7" t="s">
        <v>711</v>
      </c>
      <c r="F178" s="8" t="s">
        <v>712</v>
      </c>
      <c r="G178" s="6" t="s">
        <v>713</v>
      </c>
      <c r="H178" s="9" t="s">
        <v>31</v>
      </c>
      <c r="I178" s="5" t="n">
        <v>8.5</v>
      </c>
      <c r="J178" s="5" t="n">
        <v>7</v>
      </c>
      <c r="K178" s="5" t="n">
        <v>5</v>
      </c>
      <c r="L178" s="5" t="n">
        <v>8</v>
      </c>
      <c r="M178" s="5" t="n">
        <v>8</v>
      </c>
      <c r="N178" s="5" t="n">
        <v>3</v>
      </c>
      <c r="O178" s="10" t="n">
        <v>350</v>
      </c>
      <c r="P178" s="5" t="n">
        <v>6</v>
      </c>
      <c r="Q178" s="5" t="n">
        <v>7</v>
      </c>
      <c r="R178" s="6" t="s">
        <v>77</v>
      </c>
      <c r="S178" s="5" t="s">
        <v>411</v>
      </c>
      <c r="T178" s="5" t="n">
        <v>8</v>
      </c>
      <c r="U178" s="5" t="n">
        <v>7</v>
      </c>
      <c r="V178" s="5" t="n">
        <v>8.5</v>
      </c>
      <c r="W178" s="11" t="n">
        <f aca="false">ROUND(I178*0.15+J178*0.08+K178*0.08+L178*0.1+M178*0.08+P178*0.1+Q178*0.05+T178*0.15+U178*0.12+V178*0.09,2)</f>
        <v>7.43</v>
      </c>
    </row>
    <row r="179" customFormat="false" ht="15" hidden="false" customHeight="false" outlineLevel="0" collapsed="false">
      <c r="A179" s="12" t="n">
        <v>176</v>
      </c>
      <c r="B179" s="13" t="s">
        <v>589</v>
      </c>
      <c r="C179" s="13" t="s">
        <v>709</v>
      </c>
      <c r="D179" s="13" t="s">
        <v>714</v>
      </c>
      <c r="E179" s="14" t="s">
        <v>715</v>
      </c>
      <c r="F179" s="15" t="s">
        <v>716</v>
      </c>
      <c r="G179" s="13" t="s">
        <v>499</v>
      </c>
      <c r="H179" s="9" t="s">
        <v>31</v>
      </c>
      <c r="I179" s="12" t="n">
        <v>8.5</v>
      </c>
      <c r="J179" s="12" t="n">
        <v>5</v>
      </c>
      <c r="K179" s="12" t="n">
        <v>5</v>
      </c>
      <c r="L179" s="12" t="n">
        <v>8</v>
      </c>
      <c r="M179" s="12" t="n">
        <v>8</v>
      </c>
      <c r="N179" s="12" t="n">
        <v>3</v>
      </c>
      <c r="O179" s="16" t="n">
        <v>300</v>
      </c>
      <c r="P179" s="12" t="n">
        <v>5</v>
      </c>
      <c r="Q179" s="12" t="n">
        <v>7</v>
      </c>
      <c r="R179" s="13" t="s">
        <v>53</v>
      </c>
      <c r="S179" s="12" t="s">
        <v>496</v>
      </c>
      <c r="T179" s="12" t="n">
        <v>9</v>
      </c>
      <c r="U179" s="12" t="n">
        <v>6.5</v>
      </c>
      <c r="V179" s="12" t="n">
        <v>9</v>
      </c>
      <c r="W179" s="17" t="n">
        <f aca="false">ROUND(I179*0.15+J179*0.08+K179*0.08+L179*0.1+M179*0.08+P179*0.1+Q179*0.05+T179*0.15+U179*0.12+V179*0.09,2)</f>
        <v>7.31</v>
      </c>
    </row>
    <row r="180" customFormat="false" ht="15" hidden="false" customHeight="false" outlineLevel="0" collapsed="false">
      <c r="A180" s="5" t="n">
        <v>177</v>
      </c>
      <c r="B180" s="6" t="s">
        <v>589</v>
      </c>
      <c r="C180" s="6" t="s">
        <v>717</v>
      </c>
      <c r="D180" s="6" t="s">
        <v>718</v>
      </c>
      <c r="E180" s="7" t="s">
        <v>719</v>
      </c>
      <c r="F180" s="8" t="s">
        <v>720</v>
      </c>
      <c r="G180" s="6" t="s">
        <v>30</v>
      </c>
      <c r="H180" s="9" t="s">
        <v>31</v>
      </c>
      <c r="I180" s="5" t="n">
        <v>9.2</v>
      </c>
      <c r="J180" s="5" t="n">
        <v>6</v>
      </c>
      <c r="K180" s="5" t="n">
        <v>6</v>
      </c>
      <c r="L180" s="5" t="n">
        <v>9</v>
      </c>
      <c r="M180" s="5" t="n">
        <v>9</v>
      </c>
      <c r="N180" s="5" t="n">
        <v>4</v>
      </c>
      <c r="O180" s="10" t="n">
        <v>400</v>
      </c>
      <c r="P180" s="5" t="n">
        <v>7</v>
      </c>
      <c r="Q180" s="5" t="n">
        <v>7</v>
      </c>
      <c r="R180" s="6" t="s">
        <v>53</v>
      </c>
      <c r="S180" s="5" t="s">
        <v>309</v>
      </c>
      <c r="T180" s="5" t="n">
        <v>9.5</v>
      </c>
      <c r="U180" s="5" t="n">
        <v>9</v>
      </c>
      <c r="V180" s="5" t="n">
        <v>9</v>
      </c>
      <c r="W180" s="11" t="n">
        <f aca="false">ROUND(I180*0.15+J180*0.08+K180*0.08+L180*0.1+M180*0.08+P180*0.1+Q180*0.05+T180*0.15+U180*0.12+V180*0.09,2)</f>
        <v>8.33</v>
      </c>
    </row>
    <row r="181" customFormat="false" ht="15" hidden="false" customHeight="false" outlineLevel="0" collapsed="false">
      <c r="A181" s="12" t="n">
        <v>178</v>
      </c>
      <c r="B181" s="13" t="s">
        <v>589</v>
      </c>
      <c r="C181" s="13" t="s">
        <v>717</v>
      </c>
      <c r="D181" s="13" t="s">
        <v>721</v>
      </c>
      <c r="E181" s="14" t="s">
        <v>722</v>
      </c>
      <c r="F181" s="15" t="s">
        <v>723</v>
      </c>
      <c r="G181" s="13" t="s">
        <v>407</v>
      </c>
      <c r="H181" s="9" t="s">
        <v>31</v>
      </c>
      <c r="I181" s="12" t="n">
        <v>9</v>
      </c>
      <c r="J181" s="12" t="n">
        <v>3</v>
      </c>
      <c r="K181" s="12" t="n">
        <v>4</v>
      </c>
      <c r="L181" s="12" t="n">
        <v>7</v>
      </c>
      <c r="M181" s="12" t="n">
        <v>8</v>
      </c>
      <c r="N181" s="12" t="n">
        <v>4</v>
      </c>
      <c r="O181" s="16" t="n">
        <v>350</v>
      </c>
      <c r="P181" s="12" t="n">
        <v>6</v>
      </c>
      <c r="Q181" s="12" t="n">
        <v>8</v>
      </c>
      <c r="R181" s="13" t="s">
        <v>95</v>
      </c>
      <c r="S181" s="12" t="s">
        <v>139</v>
      </c>
      <c r="T181" s="12" t="n">
        <v>10</v>
      </c>
      <c r="U181" s="12" t="n">
        <v>8</v>
      </c>
      <c r="V181" s="12" t="n">
        <v>9.5</v>
      </c>
      <c r="W181" s="17" t="n">
        <f aca="false">ROUND(I181*0.15+J181*0.08+K181*0.08+L181*0.1+M181*0.08+P181*0.1+Q181*0.05+T181*0.15+U181*0.12+V181*0.09,2)</f>
        <v>7.57</v>
      </c>
    </row>
    <row r="182" customFormat="false" ht="15" hidden="false" customHeight="false" outlineLevel="0" collapsed="false">
      <c r="A182" s="5" t="n">
        <v>179</v>
      </c>
      <c r="B182" s="6" t="s">
        <v>589</v>
      </c>
      <c r="C182" s="6" t="s">
        <v>717</v>
      </c>
      <c r="D182" s="6" t="s">
        <v>724</v>
      </c>
      <c r="E182" s="7" t="s">
        <v>725</v>
      </c>
      <c r="F182" s="8" t="s">
        <v>726</v>
      </c>
      <c r="G182" s="6" t="s">
        <v>30</v>
      </c>
      <c r="H182" s="9" t="s">
        <v>31</v>
      </c>
      <c r="I182" s="5" t="n">
        <v>8.5</v>
      </c>
      <c r="J182" s="5" t="n">
        <v>6</v>
      </c>
      <c r="K182" s="5" t="n">
        <v>6</v>
      </c>
      <c r="L182" s="5" t="n">
        <v>8</v>
      </c>
      <c r="M182" s="5" t="n">
        <v>8</v>
      </c>
      <c r="N182" s="5" t="n">
        <v>3</v>
      </c>
      <c r="O182" s="10" t="n">
        <v>400</v>
      </c>
      <c r="P182" s="5" t="n">
        <v>8</v>
      </c>
      <c r="Q182" s="5" t="n">
        <v>7</v>
      </c>
      <c r="R182" s="6" t="s">
        <v>53</v>
      </c>
      <c r="S182" s="5" t="s">
        <v>309</v>
      </c>
      <c r="T182" s="5" t="n">
        <v>8.5</v>
      </c>
      <c r="U182" s="5" t="n">
        <v>8.5</v>
      </c>
      <c r="V182" s="5" t="n">
        <v>8.5</v>
      </c>
      <c r="W182" s="11" t="n">
        <f aca="false">ROUND(I182*0.15+J182*0.08+K182*0.08+L182*0.1+M182*0.08+P182*0.1+Q182*0.05+T182*0.15+U182*0.12+V182*0.09,2)</f>
        <v>7.89</v>
      </c>
    </row>
    <row r="183" customFormat="false" ht="15" hidden="false" customHeight="false" outlineLevel="0" collapsed="false">
      <c r="A183" s="12" t="n">
        <v>180</v>
      </c>
      <c r="B183" s="13" t="s">
        <v>589</v>
      </c>
      <c r="C183" s="13" t="s">
        <v>727</v>
      </c>
      <c r="D183" s="13" t="s">
        <v>728</v>
      </c>
      <c r="E183" s="14" t="s">
        <v>729</v>
      </c>
      <c r="F183" s="15" t="s">
        <v>730</v>
      </c>
      <c r="G183" s="13" t="s">
        <v>30</v>
      </c>
      <c r="H183" s="9" t="s">
        <v>31</v>
      </c>
      <c r="I183" s="12" t="n">
        <v>9</v>
      </c>
      <c r="J183" s="12" t="n">
        <v>6</v>
      </c>
      <c r="K183" s="12" t="n">
        <v>6</v>
      </c>
      <c r="L183" s="12" t="n">
        <v>9</v>
      </c>
      <c r="M183" s="12" t="n">
        <v>9</v>
      </c>
      <c r="N183" s="12" t="n">
        <v>4</v>
      </c>
      <c r="O183" s="16" t="n">
        <v>500</v>
      </c>
      <c r="P183" s="12" t="n">
        <v>7</v>
      </c>
      <c r="Q183" s="12" t="n">
        <v>7</v>
      </c>
      <c r="R183" s="13" t="s">
        <v>53</v>
      </c>
      <c r="S183" s="12" t="s">
        <v>309</v>
      </c>
      <c r="T183" s="12" t="n">
        <v>9.5</v>
      </c>
      <c r="U183" s="12" t="n">
        <v>9</v>
      </c>
      <c r="V183" s="12" t="n">
        <v>8.5</v>
      </c>
      <c r="W183" s="17" t="n">
        <f aca="false">ROUND(I183*0.15+J183*0.08+K183*0.08+L183*0.1+M183*0.08+P183*0.1+Q183*0.05+T183*0.15+U183*0.12+V183*0.09,2)</f>
        <v>8.25</v>
      </c>
    </row>
    <row r="184" customFormat="false" ht="15" hidden="false" customHeight="false" outlineLevel="0" collapsed="false">
      <c r="A184" s="5" t="n">
        <v>181</v>
      </c>
      <c r="B184" s="6" t="s">
        <v>589</v>
      </c>
      <c r="C184" s="6" t="s">
        <v>731</v>
      </c>
      <c r="D184" s="6" t="s">
        <v>732</v>
      </c>
      <c r="E184" s="7" t="s">
        <v>733</v>
      </c>
      <c r="F184" s="8" t="s">
        <v>734</v>
      </c>
      <c r="G184" s="6" t="s">
        <v>30</v>
      </c>
      <c r="H184" s="9" t="s">
        <v>31</v>
      </c>
      <c r="I184" s="5" t="n">
        <v>8.8</v>
      </c>
      <c r="J184" s="5" t="n">
        <v>5</v>
      </c>
      <c r="K184" s="5" t="n">
        <v>5</v>
      </c>
      <c r="L184" s="5" t="n">
        <v>8</v>
      </c>
      <c r="M184" s="5" t="n">
        <v>9</v>
      </c>
      <c r="N184" s="5" t="n">
        <v>4</v>
      </c>
      <c r="O184" s="10" t="n">
        <v>450</v>
      </c>
      <c r="P184" s="5" t="n">
        <v>7</v>
      </c>
      <c r="Q184" s="5" t="n">
        <v>7</v>
      </c>
      <c r="R184" s="6" t="s">
        <v>53</v>
      </c>
      <c r="S184" s="5" t="s">
        <v>309</v>
      </c>
      <c r="T184" s="5" t="n">
        <v>9</v>
      </c>
      <c r="U184" s="5" t="n">
        <v>8.5</v>
      </c>
      <c r="V184" s="5" t="n">
        <v>8.5</v>
      </c>
      <c r="W184" s="11" t="n">
        <f aca="false">ROUND(I184*0.15+J184*0.08+K184*0.08+L184*0.1+M184*0.08+P184*0.1+Q184*0.05+T184*0.15+U184*0.12+V184*0.09,2)</f>
        <v>7.83</v>
      </c>
    </row>
    <row r="185" customFormat="false" ht="15" hidden="false" customHeight="false" outlineLevel="0" collapsed="false">
      <c r="A185" s="12" t="n">
        <v>182</v>
      </c>
      <c r="B185" s="13" t="s">
        <v>735</v>
      </c>
      <c r="C185" s="13" t="s">
        <v>736</v>
      </c>
      <c r="D185" s="13" t="s">
        <v>737</v>
      </c>
      <c r="E185" s="14" t="s">
        <v>738</v>
      </c>
      <c r="F185" s="15" t="s">
        <v>739</v>
      </c>
      <c r="G185" s="13" t="s">
        <v>188</v>
      </c>
      <c r="H185" s="9" t="s">
        <v>177</v>
      </c>
      <c r="I185" s="12" t="n">
        <v>9.5</v>
      </c>
      <c r="J185" s="12" t="n">
        <v>6</v>
      </c>
      <c r="K185" s="12" t="n">
        <v>4</v>
      </c>
      <c r="L185" s="12" t="n">
        <v>10</v>
      </c>
      <c r="M185" s="12" t="n">
        <v>6</v>
      </c>
      <c r="N185" s="12" t="n">
        <v>7</v>
      </c>
      <c r="O185" s="16" t="n">
        <v>2000</v>
      </c>
      <c r="P185" s="12" t="n">
        <v>6</v>
      </c>
      <c r="Q185" s="12" t="n">
        <v>6</v>
      </c>
      <c r="R185" s="13" t="s">
        <v>89</v>
      </c>
      <c r="S185" s="12" t="s">
        <v>189</v>
      </c>
      <c r="T185" s="12" t="n">
        <v>9</v>
      </c>
      <c r="U185" s="12" t="n">
        <v>9</v>
      </c>
      <c r="V185" s="12" t="n">
        <v>5.5</v>
      </c>
      <c r="W185" s="17" t="n">
        <f aca="false">ROUND(I185*0.15+J185*0.08+K185*0.08+L185*0.1+M185*0.08+P185*0.1+Q185*0.05+T185*0.15+U185*0.12+V185*0.09,2)</f>
        <v>7.53</v>
      </c>
    </row>
    <row r="186" customFormat="false" ht="15" hidden="false" customHeight="false" outlineLevel="0" collapsed="false">
      <c r="A186" s="5" t="n">
        <v>183</v>
      </c>
      <c r="B186" s="6" t="s">
        <v>735</v>
      </c>
      <c r="C186" s="6" t="s">
        <v>740</v>
      </c>
      <c r="D186" s="6" t="s">
        <v>741</v>
      </c>
      <c r="E186" s="7" t="s">
        <v>742</v>
      </c>
      <c r="F186" s="8" t="s">
        <v>743</v>
      </c>
      <c r="G186" s="6" t="s">
        <v>143</v>
      </c>
      <c r="H186" s="18" t="s">
        <v>270</v>
      </c>
      <c r="I186" s="5" t="n">
        <v>9</v>
      </c>
      <c r="J186" s="5" t="n">
        <v>4</v>
      </c>
      <c r="K186" s="5" t="n">
        <v>3</v>
      </c>
      <c r="L186" s="5" t="n">
        <v>8</v>
      </c>
      <c r="M186" s="5" t="n">
        <v>8</v>
      </c>
      <c r="N186" s="5" t="n">
        <v>3</v>
      </c>
      <c r="O186" s="10" t="n">
        <v>300</v>
      </c>
      <c r="P186" s="5" t="n">
        <v>5</v>
      </c>
      <c r="Q186" s="5" t="n">
        <v>6</v>
      </c>
      <c r="R186" s="6" t="s">
        <v>89</v>
      </c>
      <c r="S186" s="5" t="s">
        <v>242</v>
      </c>
      <c r="T186" s="5" t="n">
        <v>9.5</v>
      </c>
      <c r="U186" s="5" t="n">
        <v>6.5</v>
      </c>
      <c r="V186" s="5" t="n">
        <v>9</v>
      </c>
      <c r="W186" s="11" t="n">
        <f aca="false">ROUND(I186*0.15+J186*0.08+K186*0.08+L186*0.1+M186*0.08+P186*0.1+Q186*0.05+T186*0.15+U186*0.12+V186*0.09,2)</f>
        <v>7.17</v>
      </c>
    </row>
    <row r="187" customFormat="false" ht="15" hidden="false" customHeight="false" outlineLevel="0" collapsed="false">
      <c r="A187" s="12" t="n">
        <v>184</v>
      </c>
      <c r="B187" s="13" t="s">
        <v>735</v>
      </c>
      <c r="C187" s="13" t="s">
        <v>740</v>
      </c>
      <c r="D187" s="13" t="s">
        <v>744</v>
      </c>
      <c r="E187" s="14" t="s">
        <v>745</v>
      </c>
      <c r="F187" s="15" t="s">
        <v>746</v>
      </c>
      <c r="G187" s="13" t="s">
        <v>41</v>
      </c>
      <c r="H187" s="18" t="s">
        <v>270</v>
      </c>
      <c r="I187" s="12" t="n">
        <v>8.5</v>
      </c>
      <c r="J187" s="12" t="n">
        <v>5</v>
      </c>
      <c r="K187" s="12" t="n">
        <v>5</v>
      </c>
      <c r="L187" s="12" t="n">
        <v>7</v>
      </c>
      <c r="M187" s="12" t="n">
        <v>7</v>
      </c>
      <c r="N187" s="12" t="n">
        <v>3</v>
      </c>
      <c r="O187" s="16" t="n">
        <v>300</v>
      </c>
      <c r="P187" s="12" t="n">
        <v>5</v>
      </c>
      <c r="Q187" s="12" t="n">
        <v>7</v>
      </c>
      <c r="R187" s="13" t="s">
        <v>89</v>
      </c>
      <c r="S187" s="12" t="s">
        <v>242</v>
      </c>
      <c r="T187" s="12" t="n">
        <v>8.5</v>
      </c>
      <c r="U187" s="12" t="n">
        <v>7</v>
      </c>
      <c r="V187" s="12" t="n">
        <v>9</v>
      </c>
      <c r="W187" s="17" t="n">
        <f aca="false">ROUND(I187*0.15+J187*0.08+K187*0.08+L187*0.1+M187*0.08+P187*0.1+Q187*0.05+T187*0.15+U187*0.12+V187*0.09,2)</f>
        <v>7.11</v>
      </c>
    </row>
    <row r="188" customFormat="false" ht="15" hidden="false" customHeight="false" outlineLevel="0" collapsed="false">
      <c r="A188" s="5" t="n">
        <v>185</v>
      </c>
      <c r="B188" s="6" t="s">
        <v>735</v>
      </c>
      <c r="C188" s="6" t="s">
        <v>747</v>
      </c>
      <c r="D188" s="6" t="s">
        <v>748</v>
      </c>
      <c r="E188" s="7" t="s">
        <v>749</v>
      </c>
      <c r="F188" s="8" t="s">
        <v>750</v>
      </c>
      <c r="G188" s="6" t="s">
        <v>30</v>
      </c>
      <c r="H188" s="19" t="s">
        <v>357</v>
      </c>
      <c r="I188" s="5" t="n">
        <v>8.5</v>
      </c>
      <c r="J188" s="5" t="n">
        <v>4</v>
      </c>
      <c r="K188" s="5" t="n">
        <v>4</v>
      </c>
      <c r="L188" s="5" t="n">
        <v>7</v>
      </c>
      <c r="M188" s="5" t="n">
        <v>8</v>
      </c>
      <c r="N188" s="5" t="n">
        <v>3</v>
      </c>
      <c r="O188" s="10" t="n">
        <v>200</v>
      </c>
      <c r="P188" s="5" t="n">
        <v>5</v>
      </c>
      <c r="Q188" s="5" t="n">
        <v>5</v>
      </c>
      <c r="R188" s="6" t="s">
        <v>751</v>
      </c>
      <c r="S188" s="5" t="s">
        <v>752</v>
      </c>
      <c r="T188" s="5" t="n">
        <v>9</v>
      </c>
      <c r="U188" s="5" t="n">
        <v>6</v>
      </c>
      <c r="V188" s="5" t="n">
        <v>9.5</v>
      </c>
      <c r="W188" s="11" t="n">
        <f aca="false">ROUND(I188*0.15+J188*0.08+K188*0.08+L188*0.1+M188*0.08+P188*0.1+Q188*0.05+T188*0.15+U188*0.12+V188*0.09,2)</f>
        <v>6.93</v>
      </c>
    </row>
    <row r="189" customFormat="false" ht="15" hidden="false" customHeight="false" outlineLevel="0" collapsed="false">
      <c r="A189" s="12" t="n">
        <v>186</v>
      </c>
      <c r="B189" s="13" t="s">
        <v>735</v>
      </c>
      <c r="C189" s="13" t="s">
        <v>747</v>
      </c>
      <c r="D189" s="13" t="s">
        <v>753</v>
      </c>
      <c r="E189" s="14" t="s">
        <v>754</v>
      </c>
      <c r="F189" s="15" t="s">
        <v>755</v>
      </c>
      <c r="G189" s="13" t="s">
        <v>52</v>
      </c>
      <c r="H189" s="19" t="s">
        <v>357</v>
      </c>
      <c r="I189" s="12" t="n">
        <v>9.2</v>
      </c>
      <c r="J189" s="12" t="n">
        <v>3</v>
      </c>
      <c r="K189" s="12" t="n">
        <v>2</v>
      </c>
      <c r="L189" s="12" t="n">
        <v>8</v>
      </c>
      <c r="M189" s="12" t="n">
        <v>9</v>
      </c>
      <c r="N189" s="12" t="n">
        <v>8</v>
      </c>
      <c r="O189" s="16" t="n">
        <v>200</v>
      </c>
      <c r="P189" s="12" t="n">
        <v>4</v>
      </c>
      <c r="Q189" s="12" t="n">
        <v>4</v>
      </c>
      <c r="R189" s="13" t="s">
        <v>751</v>
      </c>
      <c r="S189" s="12" t="s">
        <v>752</v>
      </c>
      <c r="T189" s="12" t="n">
        <v>10</v>
      </c>
      <c r="U189" s="12" t="n">
        <v>5.5</v>
      </c>
      <c r="V189" s="12" t="n">
        <v>10</v>
      </c>
      <c r="W189" s="17" t="n">
        <f aca="false">ROUND(I189*0.15+J189*0.08+K189*0.08+L189*0.1+M189*0.08+P189*0.1+Q189*0.05+T189*0.15+U189*0.12+V189*0.09,2)</f>
        <v>6.96</v>
      </c>
    </row>
  </sheetData>
  <mergeCells count="2">
    <mergeCell ref="A1:U1"/>
    <mergeCell ref="A2:U2"/>
  </mergeCells>
  <conditionalFormatting sqref="I4:I189">
    <cfRule type="cellIs" priority="2" operator="greaterThanOrEqual" aboveAverage="0" equalAverage="0" bottom="0" percent="0" rank="0" text="" dxfId="0">
      <formula>9</formula>
    </cfRule>
    <cfRule type="cellIs" priority="3" operator="lessThan" aboveAverage="0" equalAverage="0" bottom="0" percent="0" rank="0" text="" dxfId="1">
      <formula>5.5</formula>
    </cfRule>
  </conditionalFormatting>
  <conditionalFormatting sqref="J4:J189">
    <cfRule type="cellIs" priority="4" operator="greaterThanOrEqual" aboveAverage="0" equalAverage="0" bottom="0" percent="0" rank="0" text="" dxfId="0">
      <formula>9</formula>
    </cfRule>
    <cfRule type="cellIs" priority="5" operator="lessThan" aboveAverage="0" equalAverage="0" bottom="0" percent="0" rank="0" text="" dxfId="1">
      <formula>5.5</formula>
    </cfRule>
  </conditionalFormatting>
  <conditionalFormatting sqref="K4:K189">
    <cfRule type="cellIs" priority="6" operator="greaterThanOrEqual" aboveAverage="0" equalAverage="0" bottom="0" percent="0" rank="0" text="" dxfId="0">
      <formula>9</formula>
    </cfRule>
    <cfRule type="cellIs" priority="7" operator="lessThan" aboveAverage="0" equalAverage="0" bottom="0" percent="0" rank="0" text="" dxfId="1">
      <formula>5.5</formula>
    </cfRule>
  </conditionalFormatting>
  <conditionalFormatting sqref="L4:L189">
    <cfRule type="cellIs" priority="8" operator="greaterThanOrEqual" aboveAverage="0" equalAverage="0" bottom="0" percent="0" rank="0" text="" dxfId="0">
      <formula>9</formula>
    </cfRule>
    <cfRule type="cellIs" priority="9" operator="lessThan" aboveAverage="0" equalAverage="0" bottom="0" percent="0" rank="0" text="" dxfId="1">
      <formula>5.5</formula>
    </cfRule>
  </conditionalFormatting>
  <conditionalFormatting sqref="M4:M189">
    <cfRule type="cellIs" priority="10" operator="greaterThanOrEqual" aboveAverage="0" equalAverage="0" bottom="0" percent="0" rank="0" text="" dxfId="0">
      <formula>9</formula>
    </cfRule>
    <cfRule type="cellIs" priority="11" operator="lessThan" aboveAverage="0" equalAverage="0" bottom="0" percent="0" rank="0" text="" dxfId="1">
      <formula>5.5</formula>
    </cfRule>
  </conditionalFormatting>
  <conditionalFormatting sqref="P4:P189">
    <cfRule type="cellIs" priority="12" operator="greaterThanOrEqual" aboveAverage="0" equalAverage="0" bottom="0" percent="0" rank="0" text="" dxfId="0">
      <formula>9</formula>
    </cfRule>
    <cfRule type="cellIs" priority="13" operator="lessThan" aboveAverage="0" equalAverage="0" bottom="0" percent="0" rank="0" text="" dxfId="1">
      <formula>5.5</formula>
    </cfRule>
  </conditionalFormatting>
  <conditionalFormatting sqref="Q4:Q189">
    <cfRule type="cellIs" priority="14" operator="greaterThanOrEqual" aboveAverage="0" equalAverage="0" bottom="0" percent="0" rank="0" text="" dxfId="0">
      <formula>9</formula>
    </cfRule>
    <cfRule type="cellIs" priority="15" operator="lessThan" aboveAverage="0" equalAverage="0" bottom="0" percent="0" rank="0" text="" dxfId="1">
      <formula>5.5</formula>
    </cfRule>
  </conditionalFormatting>
  <conditionalFormatting sqref="T4:T189">
    <cfRule type="cellIs" priority="16" operator="greaterThanOrEqual" aboveAverage="0" equalAverage="0" bottom="0" percent="0" rank="0" text="" dxfId="0">
      <formula>9</formula>
    </cfRule>
    <cfRule type="cellIs" priority="17" operator="lessThan" aboveAverage="0" equalAverage="0" bottom="0" percent="0" rank="0" text="" dxfId="1">
      <formula>5.5</formula>
    </cfRule>
  </conditionalFormatting>
  <conditionalFormatting sqref="U4:U189">
    <cfRule type="cellIs" priority="18" operator="greaterThanOrEqual" aboveAverage="0" equalAverage="0" bottom="0" percent="0" rank="0" text="" dxfId="0">
      <formula>9</formula>
    </cfRule>
    <cfRule type="cellIs" priority="19" operator="lessThan" aboveAverage="0" equalAverage="0" bottom="0" percent="0" rank="0" text="" dxfId="1">
      <formula>5.5</formula>
    </cfRule>
  </conditionalFormatting>
  <conditionalFormatting sqref="V4:V189">
    <cfRule type="cellIs" priority="20" operator="greaterThanOrEqual" aboveAverage="0" equalAverage="0" bottom="0" percent="0" rank="0" text="" dxfId="0">
      <formula>9</formula>
    </cfRule>
    <cfRule type="cellIs" priority="21" operator="lessThan" aboveAverage="0" equalAverage="0" bottom="0" percent="0" rank="0" text="" dxfId="1">
      <formula>5.5</formula>
    </cfRule>
  </conditionalFormatting>
  <conditionalFormatting sqref="W4:W189">
    <cfRule type="cellIs" priority="22" operator="greaterThanOrEqual" aboveAverage="0" equalAverage="0" bottom="0" percent="0" rank="0" text="" dxfId="0">
      <formula>9</formula>
    </cfRule>
    <cfRule type="cellIs" priority="23" operator="lessThan" aboveAverage="0" equalAverage="0" bottom="0" percent="0" rank="0" text="" dxfId="1">
      <formula>5.5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2"/>
  </cols>
  <sheetData>
    <row r="1" customFormat="false" ht="34.5" hidden="false" customHeight="true" outlineLevel="0" collapsed="false">
      <c r="A1" s="20" t="s">
        <v>756</v>
      </c>
      <c r="B1" s="20"/>
      <c r="C1" s="20"/>
      <c r="D1" s="20"/>
      <c r="E1" s="20"/>
      <c r="F1" s="20"/>
      <c r="G1" s="20"/>
      <c r="H1" s="20"/>
    </row>
    <row r="2" customFormat="false" ht="29.85" hidden="false" customHeight="false" outlineLevel="0" collapsed="false">
      <c r="A2" s="3" t="s">
        <v>3</v>
      </c>
      <c r="B2" s="3" t="s">
        <v>4</v>
      </c>
      <c r="C2" s="3" t="s">
        <v>757</v>
      </c>
      <c r="D2" s="3" t="s">
        <v>758</v>
      </c>
      <c r="E2" s="3" t="s">
        <v>759</v>
      </c>
      <c r="F2" s="3" t="s">
        <v>760</v>
      </c>
      <c r="G2" s="3" t="s">
        <v>761</v>
      </c>
      <c r="H2" s="3" t="s">
        <v>762</v>
      </c>
    </row>
    <row r="3" customFormat="false" ht="15" hidden="false" customHeight="false" outlineLevel="0" collapsed="false">
      <c r="A3" s="21" t="s">
        <v>25</v>
      </c>
      <c r="B3" s="22" t="s">
        <v>26</v>
      </c>
      <c r="C3" s="21" t="n">
        <v>20</v>
      </c>
      <c r="D3" s="23" t="s">
        <v>763</v>
      </c>
      <c r="E3" s="21" t="n">
        <v>9.03</v>
      </c>
      <c r="F3" s="21" t="n">
        <v>9.03</v>
      </c>
      <c r="G3" s="21" t="n">
        <v>7.5</v>
      </c>
      <c r="H3" s="22" t="n">
        <v>7.92</v>
      </c>
    </row>
    <row r="4" customFormat="false" ht="15" hidden="false" customHeight="false" outlineLevel="0" collapsed="false">
      <c r="A4" s="24" t="s">
        <v>25</v>
      </c>
      <c r="B4" s="25" t="s">
        <v>125</v>
      </c>
      <c r="C4" s="24" t="n">
        <v>12</v>
      </c>
      <c r="D4" s="26" t="s">
        <v>763</v>
      </c>
      <c r="E4" s="24" t="n">
        <v>8.53</v>
      </c>
      <c r="F4" s="24" t="n">
        <v>8.17</v>
      </c>
      <c r="G4" s="24" t="n">
        <v>8.33</v>
      </c>
      <c r="H4" s="25" t="n">
        <v>7.74</v>
      </c>
    </row>
    <row r="5" customFormat="false" ht="15" hidden="false" customHeight="false" outlineLevel="0" collapsed="false">
      <c r="A5" s="21" t="s">
        <v>172</v>
      </c>
      <c r="B5" s="22" t="s">
        <v>173</v>
      </c>
      <c r="C5" s="21" t="n">
        <v>12</v>
      </c>
      <c r="D5" s="23" t="s">
        <v>177</v>
      </c>
      <c r="E5" s="21" t="n">
        <v>8.68</v>
      </c>
      <c r="F5" s="21" t="n">
        <v>8.25</v>
      </c>
      <c r="G5" s="21" t="n">
        <v>8.5</v>
      </c>
      <c r="H5" s="22" t="n">
        <v>7.68</v>
      </c>
    </row>
    <row r="6" customFormat="false" ht="15" hidden="false" customHeight="false" outlineLevel="0" collapsed="false">
      <c r="A6" s="24" t="s">
        <v>373</v>
      </c>
      <c r="B6" s="25" t="s">
        <v>374</v>
      </c>
      <c r="C6" s="24" t="n">
        <v>12</v>
      </c>
      <c r="D6" s="26" t="s">
        <v>764</v>
      </c>
      <c r="E6" s="24" t="n">
        <v>9.02</v>
      </c>
      <c r="F6" s="24" t="n">
        <v>8.75</v>
      </c>
      <c r="G6" s="24" t="n">
        <v>7.42</v>
      </c>
      <c r="H6" s="25" t="n">
        <v>7.54</v>
      </c>
    </row>
    <row r="7" customFormat="false" ht="15" hidden="false" customHeight="false" outlineLevel="0" collapsed="false">
      <c r="A7" s="21" t="s">
        <v>172</v>
      </c>
      <c r="B7" s="22" t="s">
        <v>233</v>
      </c>
      <c r="C7" s="21" t="n">
        <v>8</v>
      </c>
      <c r="D7" s="23" t="s">
        <v>177</v>
      </c>
      <c r="E7" s="21" t="n">
        <v>8.56</v>
      </c>
      <c r="F7" s="21" t="n">
        <v>8.25</v>
      </c>
      <c r="G7" s="21" t="n">
        <v>8.31</v>
      </c>
      <c r="H7" s="22" t="n">
        <v>7.59</v>
      </c>
    </row>
    <row r="8" customFormat="false" ht="15" hidden="false" customHeight="false" outlineLevel="0" collapsed="false">
      <c r="A8" s="24" t="s">
        <v>172</v>
      </c>
      <c r="B8" s="25" t="s">
        <v>265</v>
      </c>
      <c r="C8" s="24" t="n">
        <v>8</v>
      </c>
      <c r="D8" s="26" t="s">
        <v>270</v>
      </c>
      <c r="E8" s="24" t="n">
        <v>8.81</v>
      </c>
      <c r="F8" s="24" t="n">
        <v>8.5</v>
      </c>
      <c r="G8" s="24" t="n">
        <v>8.81</v>
      </c>
      <c r="H8" s="25" t="n">
        <v>7.6</v>
      </c>
    </row>
    <row r="9" customFormat="false" ht="15" hidden="false" customHeight="false" outlineLevel="0" collapsed="false">
      <c r="A9" s="21" t="s">
        <v>373</v>
      </c>
      <c r="B9" s="22" t="s">
        <v>422</v>
      </c>
      <c r="C9" s="21" t="n">
        <v>8</v>
      </c>
      <c r="D9" s="23" t="s">
        <v>765</v>
      </c>
      <c r="E9" s="21" t="n">
        <v>9.03</v>
      </c>
      <c r="F9" s="21" t="n">
        <v>8.81</v>
      </c>
      <c r="G9" s="21" t="n">
        <v>7.62</v>
      </c>
      <c r="H9" s="22" t="n">
        <v>7.44</v>
      </c>
    </row>
    <row r="10" customFormat="false" ht="15" hidden="false" customHeight="false" outlineLevel="0" collapsed="false">
      <c r="A10" s="24" t="s">
        <v>452</v>
      </c>
      <c r="B10" s="25" t="s">
        <v>470</v>
      </c>
      <c r="C10" s="24" t="n">
        <v>8</v>
      </c>
      <c r="D10" s="26" t="s">
        <v>766</v>
      </c>
      <c r="E10" s="24" t="n">
        <v>9.01</v>
      </c>
      <c r="F10" s="24" t="n">
        <v>9.06</v>
      </c>
      <c r="G10" s="24" t="n">
        <v>8.44</v>
      </c>
      <c r="H10" s="25" t="n">
        <v>7.83</v>
      </c>
    </row>
    <row r="11" customFormat="false" ht="15" hidden="false" customHeight="false" outlineLevel="0" collapsed="false">
      <c r="A11" s="21" t="s">
        <v>589</v>
      </c>
      <c r="B11" s="22" t="s">
        <v>650</v>
      </c>
      <c r="C11" s="21" t="n">
        <v>7</v>
      </c>
      <c r="D11" s="23" t="s">
        <v>767</v>
      </c>
      <c r="E11" s="21" t="n">
        <v>9.16</v>
      </c>
      <c r="F11" s="21" t="n">
        <v>9.36</v>
      </c>
      <c r="G11" s="21" t="n">
        <v>7.86</v>
      </c>
      <c r="H11" s="22" t="n">
        <v>7.84</v>
      </c>
    </row>
    <row r="12" customFormat="false" ht="15" hidden="false" customHeight="false" outlineLevel="0" collapsed="false">
      <c r="A12" s="24" t="s">
        <v>172</v>
      </c>
      <c r="B12" s="25" t="s">
        <v>297</v>
      </c>
      <c r="C12" s="24" t="n">
        <v>6</v>
      </c>
      <c r="D12" s="26" t="s">
        <v>763</v>
      </c>
      <c r="E12" s="24" t="n">
        <v>9.05</v>
      </c>
      <c r="F12" s="24" t="n">
        <v>9.25</v>
      </c>
      <c r="G12" s="24" t="n">
        <v>8.17</v>
      </c>
      <c r="H12" s="25" t="n">
        <v>7.43</v>
      </c>
    </row>
    <row r="13" customFormat="false" ht="15" hidden="false" customHeight="false" outlineLevel="0" collapsed="false">
      <c r="A13" s="21" t="s">
        <v>172</v>
      </c>
      <c r="B13" s="22" t="s">
        <v>217</v>
      </c>
      <c r="C13" s="21" t="n">
        <v>5</v>
      </c>
      <c r="D13" s="23" t="s">
        <v>177</v>
      </c>
      <c r="E13" s="21" t="n">
        <v>8.96</v>
      </c>
      <c r="F13" s="21" t="n">
        <v>8</v>
      </c>
      <c r="G13" s="21" t="n">
        <v>7.4</v>
      </c>
      <c r="H13" s="22" t="n">
        <v>8.43</v>
      </c>
    </row>
    <row r="14" customFormat="false" ht="15" hidden="false" customHeight="false" outlineLevel="0" collapsed="false">
      <c r="A14" s="24" t="s">
        <v>172</v>
      </c>
      <c r="B14" s="25" t="s">
        <v>321</v>
      </c>
      <c r="C14" s="24" t="n">
        <v>5</v>
      </c>
      <c r="D14" s="26" t="s">
        <v>768</v>
      </c>
      <c r="E14" s="24" t="n">
        <v>8.64</v>
      </c>
      <c r="F14" s="24" t="n">
        <v>8.1</v>
      </c>
      <c r="G14" s="24" t="n">
        <v>8.3</v>
      </c>
      <c r="H14" s="25" t="n">
        <v>7.15</v>
      </c>
    </row>
    <row r="15" customFormat="false" ht="15" hidden="false" customHeight="false" outlineLevel="0" collapsed="false">
      <c r="A15" s="21" t="s">
        <v>452</v>
      </c>
      <c r="B15" s="22" t="s">
        <v>453</v>
      </c>
      <c r="C15" s="21" t="n">
        <v>5</v>
      </c>
      <c r="D15" s="23" t="s">
        <v>177</v>
      </c>
      <c r="E15" s="21" t="n">
        <v>9.12</v>
      </c>
      <c r="F15" s="21" t="n">
        <v>8.6</v>
      </c>
      <c r="G15" s="21" t="n">
        <v>6.9</v>
      </c>
      <c r="H15" s="22" t="n">
        <v>8.15</v>
      </c>
    </row>
    <row r="16" customFormat="false" ht="15" hidden="false" customHeight="false" outlineLevel="0" collapsed="false">
      <c r="A16" s="24" t="s">
        <v>548</v>
      </c>
      <c r="B16" s="25" t="s">
        <v>563</v>
      </c>
      <c r="C16" s="24" t="n">
        <v>5</v>
      </c>
      <c r="D16" s="26" t="s">
        <v>763</v>
      </c>
      <c r="E16" s="24" t="n">
        <v>8.8</v>
      </c>
      <c r="F16" s="24" t="n">
        <v>9</v>
      </c>
      <c r="G16" s="24" t="n">
        <v>9.4</v>
      </c>
      <c r="H16" s="25" t="n">
        <v>7.19</v>
      </c>
    </row>
    <row r="17" customFormat="false" ht="15" hidden="false" customHeight="false" outlineLevel="0" collapsed="false">
      <c r="A17" s="21" t="s">
        <v>452</v>
      </c>
      <c r="B17" s="22" t="s">
        <v>525</v>
      </c>
      <c r="C17" s="21" t="n">
        <v>4</v>
      </c>
      <c r="D17" s="23" t="s">
        <v>177</v>
      </c>
      <c r="E17" s="21" t="n">
        <v>8.75</v>
      </c>
      <c r="F17" s="21" t="n">
        <v>8.5</v>
      </c>
      <c r="G17" s="21" t="n">
        <v>9.62</v>
      </c>
      <c r="H17" s="22" t="n">
        <v>7.34</v>
      </c>
    </row>
    <row r="18" customFormat="false" ht="15" hidden="false" customHeight="false" outlineLevel="0" collapsed="false">
      <c r="A18" s="24" t="s">
        <v>548</v>
      </c>
      <c r="B18" s="25" t="s">
        <v>549</v>
      </c>
      <c r="C18" s="24" t="n">
        <v>4</v>
      </c>
      <c r="D18" s="26" t="s">
        <v>177</v>
      </c>
      <c r="E18" s="24" t="n">
        <v>8.57</v>
      </c>
      <c r="F18" s="24" t="n">
        <v>8.38</v>
      </c>
      <c r="G18" s="24" t="n">
        <v>8.25</v>
      </c>
      <c r="H18" s="25" t="n">
        <v>6.91</v>
      </c>
    </row>
    <row r="19" customFormat="false" ht="15" hidden="false" customHeight="false" outlineLevel="0" collapsed="false">
      <c r="A19" s="21" t="s">
        <v>172</v>
      </c>
      <c r="B19" s="22" t="s">
        <v>342</v>
      </c>
      <c r="C19" s="21" t="n">
        <v>3</v>
      </c>
      <c r="D19" s="23" t="s">
        <v>769</v>
      </c>
      <c r="E19" s="21" t="n">
        <v>8.5</v>
      </c>
      <c r="F19" s="21" t="n">
        <v>8.17</v>
      </c>
      <c r="G19" s="21" t="n">
        <v>8.67</v>
      </c>
      <c r="H19" s="22" t="n">
        <v>7.21</v>
      </c>
    </row>
    <row r="20" customFormat="false" ht="15" hidden="false" customHeight="false" outlineLevel="0" collapsed="false">
      <c r="A20" s="24" t="s">
        <v>452</v>
      </c>
      <c r="B20" s="25" t="s">
        <v>500</v>
      </c>
      <c r="C20" s="24" t="n">
        <v>3</v>
      </c>
      <c r="D20" s="26" t="s">
        <v>763</v>
      </c>
      <c r="E20" s="24" t="n">
        <v>8.6</v>
      </c>
      <c r="F20" s="24" t="n">
        <v>8.83</v>
      </c>
      <c r="G20" s="24" t="n">
        <v>7.33</v>
      </c>
      <c r="H20" s="25" t="n">
        <v>7.23</v>
      </c>
    </row>
    <row r="21" customFormat="false" ht="15" hidden="false" customHeight="false" outlineLevel="0" collapsed="false">
      <c r="A21" s="21" t="s">
        <v>548</v>
      </c>
      <c r="B21" s="22" t="s">
        <v>579</v>
      </c>
      <c r="C21" s="21" t="n">
        <v>3</v>
      </c>
      <c r="D21" s="23" t="s">
        <v>270</v>
      </c>
      <c r="E21" s="21" t="n">
        <v>8.83</v>
      </c>
      <c r="F21" s="21" t="n">
        <v>8.67</v>
      </c>
      <c r="G21" s="21" t="n">
        <v>9.67</v>
      </c>
      <c r="H21" s="22" t="n">
        <v>6.64</v>
      </c>
    </row>
    <row r="22" customFormat="false" ht="15" hidden="false" customHeight="false" outlineLevel="0" collapsed="false">
      <c r="A22" s="24" t="s">
        <v>589</v>
      </c>
      <c r="B22" s="25" t="s">
        <v>590</v>
      </c>
      <c r="C22" s="24" t="n">
        <v>3</v>
      </c>
      <c r="D22" s="26" t="s">
        <v>177</v>
      </c>
      <c r="E22" s="24" t="n">
        <v>8.43</v>
      </c>
      <c r="F22" s="24" t="n">
        <v>8.17</v>
      </c>
      <c r="G22" s="24" t="n">
        <v>9</v>
      </c>
      <c r="H22" s="25" t="n">
        <v>7.41</v>
      </c>
    </row>
    <row r="23" customFormat="false" ht="15" hidden="false" customHeight="false" outlineLevel="0" collapsed="false">
      <c r="A23" s="21" t="s">
        <v>589</v>
      </c>
      <c r="B23" s="22" t="s">
        <v>602</v>
      </c>
      <c r="C23" s="21" t="n">
        <v>3</v>
      </c>
      <c r="D23" s="23" t="s">
        <v>177</v>
      </c>
      <c r="E23" s="21" t="n">
        <v>8.73</v>
      </c>
      <c r="F23" s="21" t="n">
        <v>8.67</v>
      </c>
      <c r="G23" s="21" t="n">
        <v>9.5</v>
      </c>
      <c r="H23" s="22" t="n">
        <v>7.33</v>
      </c>
    </row>
    <row r="24" customFormat="false" ht="15" hidden="false" customHeight="false" outlineLevel="0" collapsed="false">
      <c r="A24" s="24" t="s">
        <v>589</v>
      </c>
      <c r="B24" s="25" t="s">
        <v>613</v>
      </c>
      <c r="C24" s="24" t="n">
        <v>3</v>
      </c>
      <c r="D24" s="26" t="s">
        <v>763</v>
      </c>
      <c r="E24" s="24" t="n">
        <v>8.87</v>
      </c>
      <c r="F24" s="24" t="n">
        <v>8.83</v>
      </c>
      <c r="G24" s="24" t="n">
        <v>8.33</v>
      </c>
      <c r="H24" s="25" t="n">
        <v>7.4</v>
      </c>
    </row>
    <row r="25" customFormat="false" ht="15" hidden="false" customHeight="false" outlineLevel="0" collapsed="false">
      <c r="A25" s="21" t="s">
        <v>589</v>
      </c>
      <c r="B25" s="22" t="s">
        <v>633</v>
      </c>
      <c r="C25" s="21" t="n">
        <v>3</v>
      </c>
      <c r="D25" s="23" t="s">
        <v>177</v>
      </c>
      <c r="E25" s="21" t="n">
        <v>8.7</v>
      </c>
      <c r="F25" s="21" t="n">
        <v>9.17</v>
      </c>
      <c r="G25" s="21" t="n">
        <v>9.5</v>
      </c>
      <c r="H25" s="22" t="n">
        <v>7.17</v>
      </c>
    </row>
    <row r="26" customFormat="false" ht="15" hidden="false" customHeight="false" outlineLevel="0" collapsed="false">
      <c r="A26" s="24" t="s">
        <v>589</v>
      </c>
      <c r="B26" s="25" t="s">
        <v>680</v>
      </c>
      <c r="C26" s="24" t="n">
        <v>3</v>
      </c>
      <c r="D26" s="26" t="s">
        <v>763</v>
      </c>
      <c r="E26" s="24" t="n">
        <v>9.27</v>
      </c>
      <c r="F26" s="24" t="n">
        <v>9.67</v>
      </c>
      <c r="G26" s="24" t="n">
        <v>7.67</v>
      </c>
      <c r="H26" s="25" t="n">
        <v>7.78</v>
      </c>
    </row>
    <row r="27" customFormat="false" ht="15" hidden="false" customHeight="false" outlineLevel="0" collapsed="false">
      <c r="A27" s="21" t="s">
        <v>589</v>
      </c>
      <c r="B27" s="22" t="s">
        <v>692</v>
      </c>
      <c r="C27" s="21" t="n">
        <v>3</v>
      </c>
      <c r="D27" s="23" t="s">
        <v>763</v>
      </c>
      <c r="E27" s="21" t="n">
        <v>9.17</v>
      </c>
      <c r="F27" s="21" t="n">
        <v>8.67</v>
      </c>
      <c r="G27" s="21" t="n">
        <v>8.17</v>
      </c>
      <c r="H27" s="22" t="n">
        <v>8.35</v>
      </c>
    </row>
    <row r="28" customFormat="false" ht="15" hidden="false" customHeight="false" outlineLevel="0" collapsed="false">
      <c r="A28" s="24" t="s">
        <v>589</v>
      </c>
      <c r="B28" s="25" t="s">
        <v>717</v>
      </c>
      <c r="C28" s="24" t="n">
        <v>3</v>
      </c>
      <c r="D28" s="26" t="s">
        <v>763</v>
      </c>
      <c r="E28" s="24" t="n">
        <v>8.9</v>
      </c>
      <c r="F28" s="24" t="n">
        <v>9.33</v>
      </c>
      <c r="G28" s="24" t="n">
        <v>9</v>
      </c>
      <c r="H28" s="25" t="n">
        <v>7.92</v>
      </c>
    </row>
    <row r="29" customFormat="false" ht="15" hidden="false" customHeight="false" outlineLevel="0" collapsed="false">
      <c r="A29" s="21" t="s">
        <v>172</v>
      </c>
      <c r="B29" s="22" t="s">
        <v>353</v>
      </c>
      <c r="C29" s="21" t="n">
        <v>2</v>
      </c>
      <c r="D29" s="23" t="s">
        <v>357</v>
      </c>
      <c r="E29" s="21" t="n">
        <v>8.4</v>
      </c>
      <c r="F29" s="21" t="n">
        <v>8.5</v>
      </c>
      <c r="G29" s="21" t="n">
        <v>9.25</v>
      </c>
      <c r="H29" s="22" t="n">
        <v>7.18</v>
      </c>
    </row>
    <row r="30" customFormat="false" ht="15" hidden="false" customHeight="false" outlineLevel="0" collapsed="false">
      <c r="A30" s="24" t="s">
        <v>172</v>
      </c>
      <c r="B30" s="25" t="s">
        <v>361</v>
      </c>
      <c r="C30" s="24" t="n">
        <v>2</v>
      </c>
      <c r="D30" s="26" t="s">
        <v>270</v>
      </c>
      <c r="E30" s="24" t="n">
        <v>9.1</v>
      </c>
      <c r="F30" s="24" t="n">
        <v>9.75</v>
      </c>
      <c r="G30" s="24" t="n">
        <v>9.5</v>
      </c>
      <c r="H30" s="25" t="n">
        <v>7.46</v>
      </c>
    </row>
    <row r="31" customFormat="false" ht="15" hidden="false" customHeight="false" outlineLevel="0" collapsed="false">
      <c r="A31" s="21" t="s">
        <v>452</v>
      </c>
      <c r="B31" s="22" t="s">
        <v>510</v>
      </c>
      <c r="C31" s="21" t="n">
        <v>2</v>
      </c>
      <c r="D31" s="23" t="s">
        <v>763</v>
      </c>
      <c r="E31" s="21" t="n">
        <v>8.75</v>
      </c>
      <c r="F31" s="21" t="n">
        <v>8.75</v>
      </c>
      <c r="G31" s="21" t="n">
        <v>7.25</v>
      </c>
      <c r="H31" s="22" t="n">
        <v>7</v>
      </c>
    </row>
    <row r="32" customFormat="false" ht="15" hidden="false" customHeight="false" outlineLevel="0" collapsed="false">
      <c r="A32" s="24" t="s">
        <v>452</v>
      </c>
      <c r="B32" s="25" t="s">
        <v>518</v>
      </c>
      <c r="C32" s="24" t="n">
        <v>2</v>
      </c>
      <c r="D32" s="26" t="s">
        <v>177</v>
      </c>
      <c r="E32" s="24" t="n">
        <v>8.75</v>
      </c>
      <c r="F32" s="24" t="n">
        <v>8.25</v>
      </c>
      <c r="G32" s="24" t="n">
        <v>7</v>
      </c>
      <c r="H32" s="25" t="n">
        <v>8.02</v>
      </c>
    </row>
    <row r="33" customFormat="false" ht="15" hidden="false" customHeight="false" outlineLevel="0" collapsed="false">
      <c r="A33" s="21" t="s">
        <v>452</v>
      </c>
      <c r="B33" s="22" t="s">
        <v>540</v>
      </c>
      <c r="C33" s="21" t="n">
        <v>2</v>
      </c>
      <c r="D33" s="23" t="s">
        <v>177</v>
      </c>
      <c r="E33" s="21" t="n">
        <v>8.65</v>
      </c>
      <c r="F33" s="21" t="n">
        <v>8.75</v>
      </c>
      <c r="G33" s="21" t="n">
        <v>9.5</v>
      </c>
      <c r="H33" s="22" t="n">
        <v>7.49</v>
      </c>
    </row>
    <row r="34" customFormat="false" ht="15" hidden="false" customHeight="false" outlineLevel="0" collapsed="false">
      <c r="A34" s="24" t="s">
        <v>589</v>
      </c>
      <c r="B34" s="25" t="s">
        <v>624</v>
      </c>
      <c r="C34" s="24" t="n">
        <v>2</v>
      </c>
      <c r="D34" s="26" t="s">
        <v>770</v>
      </c>
      <c r="E34" s="24" t="n">
        <v>8.5</v>
      </c>
      <c r="F34" s="24" t="n">
        <v>8.5</v>
      </c>
      <c r="G34" s="24" t="n">
        <v>9.25</v>
      </c>
      <c r="H34" s="25" t="n">
        <v>7.38</v>
      </c>
    </row>
    <row r="35" customFormat="false" ht="15" hidden="false" customHeight="false" outlineLevel="0" collapsed="false">
      <c r="A35" s="21" t="s">
        <v>589</v>
      </c>
      <c r="B35" s="22" t="s">
        <v>643</v>
      </c>
      <c r="C35" s="21" t="n">
        <v>2</v>
      </c>
      <c r="D35" s="23" t="s">
        <v>177</v>
      </c>
      <c r="E35" s="21" t="n">
        <v>8.25</v>
      </c>
      <c r="F35" s="21" t="n">
        <v>8</v>
      </c>
      <c r="G35" s="21" t="n">
        <v>8.75</v>
      </c>
      <c r="H35" s="22" t="n">
        <v>7.05</v>
      </c>
    </row>
    <row r="36" customFormat="false" ht="15" hidden="false" customHeight="false" outlineLevel="0" collapsed="false">
      <c r="A36" s="24" t="s">
        <v>589</v>
      </c>
      <c r="B36" s="25" t="s">
        <v>702</v>
      </c>
      <c r="C36" s="24" t="n">
        <v>2</v>
      </c>
      <c r="D36" s="26" t="s">
        <v>763</v>
      </c>
      <c r="E36" s="24" t="n">
        <v>8.75</v>
      </c>
      <c r="F36" s="24" t="n">
        <v>9</v>
      </c>
      <c r="G36" s="24" t="n">
        <v>9.25</v>
      </c>
      <c r="H36" s="25" t="n">
        <v>7.48</v>
      </c>
    </row>
    <row r="37" customFormat="false" ht="15" hidden="false" customHeight="false" outlineLevel="0" collapsed="false">
      <c r="A37" s="21" t="s">
        <v>589</v>
      </c>
      <c r="B37" s="22" t="s">
        <v>709</v>
      </c>
      <c r="C37" s="21" t="n">
        <v>2</v>
      </c>
      <c r="D37" s="23" t="s">
        <v>763</v>
      </c>
      <c r="E37" s="21" t="n">
        <v>8.5</v>
      </c>
      <c r="F37" s="21" t="n">
        <v>8.5</v>
      </c>
      <c r="G37" s="21" t="n">
        <v>8.75</v>
      </c>
      <c r="H37" s="22" t="n">
        <v>7.37</v>
      </c>
    </row>
    <row r="38" customFormat="false" ht="15" hidden="false" customHeight="false" outlineLevel="0" collapsed="false">
      <c r="A38" s="24" t="s">
        <v>735</v>
      </c>
      <c r="B38" s="25" t="s">
        <v>740</v>
      </c>
      <c r="C38" s="24" t="n">
        <v>2</v>
      </c>
      <c r="D38" s="26" t="s">
        <v>270</v>
      </c>
      <c r="E38" s="24" t="n">
        <v>8.75</v>
      </c>
      <c r="F38" s="24" t="n">
        <v>9</v>
      </c>
      <c r="G38" s="24" t="n">
        <v>9</v>
      </c>
      <c r="H38" s="25" t="n">
        <v>7.14</v>
      </c>
    </row>
    <row r="39" customFormat="false" ht="15" hidden="false" customHeight="false" outlineLevel="0" collapsed="false">
      <c r="A39" s="21" t="s">
        <v>735</v>
      </c>
      <c r="B39" s="22" t="s">
        <v>747</v>
      </c>
      <c r="C39" s="21" t="n">
        <v>2</v>
      </c>
      <c r="D39" s="23" t="s">
        <v>357</v>
      </c>
      <c r="E39" s="21" t="n">
        <v>8.85</v>
      </c>
      <c r="F39" s="21" t="n">
        <v>9.5</v>
      </c>
      <c r="G39" s="21" t="n">
        <v>9.75</v>
      </c>
      <c r="H39" s="22" t="n">
        <v>6.95</v>
      </c>
    </row>
    <row r="40" customFormat="false" ht="15" hidden="false" customHeight="false" outlineLevel="0" collapsed="false">
      <c r="A40" s="24" t="s">
        <v>172</v>
      </c>
      <c r="B40" s="25" t="s">
        <v>368</v>
      </c>
      <c r="C40" s="24" t="n">
        <v>1</v>
      </c>
      <c r="D40" s="26" t="s">
        <v>177</v>
      </c>
      <c r="E40" s="24" t="n">
        <v>8.3</v>
      </c>
      <c r="F40" s="24" t="n">
        <v>8</v>
      </c>
      <c r="G40" s="24" t="n">
        <v>7</v>
      </c>
      <c r="H40" s="25" t="n">
        <v>7.18</v>
      </c>
    </row>
    <row r="41" customFormat="false" ht="15" hidden="false" customHeight="false" outlineLevel="0" collapsed="false">
      <c r="A41" s="21" t="s">
        <v>589</v>
      </c>
      <c r="B41" s="22" t="s">
        <v>650</v>
      </c>
      <c r="C41" s="21" t="n">
        <v>1</v>
      </c>
      <c r="D41" s="23" t="s">
        <v>771</v>
      </c>
      <c r="E41" s="21" t="n">
        <v>8.3</v>
      </c>
      <c r="F41" s="21" t="n">
        <v>7.5</v>
      </c>
      <c r="G41" s="21" t="n">
        <v>8</v>
      </c>
      <c r="H41" s="22" t="n">
        <v>7.23</v>
      </c>
    </row>
    <row r="42" customFormat="false" ht="15" hidden="false" customHeight="false" outlineLevel="0" collapsed="false">
      <c r="A42" s="24" t="s">
        <v>589</v>
      </c>
      <c r="B42" s="25" t="s">
        <v>727</v>
      </c>
      <c r="C42" s="24" t="n">
        <v>1</v>
      </c>
      <c r="D42" s="26" t="s">
        <v>763</v>
      </c>
      <c r="E42" s="24" t="n">
        <v>9</v>
      </c>
      <c r="F42" s="24" t="n">
        <v>9.5</v>
      </c>
      <c r="G42" s="24" t="n">
        <v>8.5</v>
      </c>
      <c r="H42" s="25" t="n">
        <v>8.25</v>
      </c>
    </row>
    <row r="43" customFormat="false" ht="15" hidden="false" customHeight="false" outlineLevel="0" collapsed="false">
      <c r="A43" s="21" t="s">
        <v>589</v>
      </c>
      <c r="B43" s="22" t="s">
        <v>731</v>
      </c>
      <c r="C43" s="21" t="n">
        <v>1</v>
      </c>
      <c r="D43" s="23" t="s">
        <v>763</v>
      </c>
      <c r="E43" s="21" t="n">
        <v>8.8</v>
      </c>
      <c r="F43" s="21" t="n">
        <v>9</v>
      </c>
      <c r="G43" s="21" t="n">
        <v>8.5</v>
      </c>
      <c r="H43" s="22" t="n">
        <v>7.82</v>
      </c>
    </row>
    <row r="44" customFormat="false" ht="15" hidden="false" customHeight="false" outlineLevel="0" collapsed="false">
      <c r="A44" s="24" t="s">
        <v>735</v>
      </c>
      <c r="B44" s="25" t="s">
        <v>736</v>
      </c>
      <c r="C44" s="24" t="n">
        <v>1</v>
      </c>
      <c r="D44" s="26" t="s">
        <v>177</v>
      </c>
      <c r="E44" s="24" t="n">
        <v>9.5</v>
      </c>
      <c r="F44" s="24" t="n">
        <v>9</v>
      </c>
      <c r="G44" s="24" t="n">
        <v>5.5</v>
      </c>
      <c r="H44" s="25" t="n">
        <v>7.53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50"/>
    <col collapsed="false" customWidth="true" hidden="false" outlineLevel="0" max="4" min="4" style="0" width="28"/>
  </cols>
  <sheetData>
    <row r="1" customFormat="false" ht="34.5" hidden="false" customHeight="true" outlineLevel="0" collapsed="false">
      <c r="A1" s="20" t="s">
        <v>772</v>
      </c>
      <c r="B1" s="20"/>
      <c r="C1" s="20"/>
      <c r="D1" s="20"/>
    </row>
    <row r="2" customFormat="false" ht="15" hidden="false" customHeight="false" outlineLevel="0" collapsed="false">
      <c r="A2" s="27" t="s">
        <v>773</v>
      </c>
      <c r="B2" s="27" t="s">
        <v>774</v>
      </c>
      <c r="C2" s="27" t="s">
        <v>775</v>
      </c>
      <c r="D2" s="27" t="s">
        <v>776</v>
      </c>
    </row>
    <row r="3" customFormat="false" ht="15" hidden="false" customHeight="false" outlineLevel="0" collapsed="false">
      <c r="A3" s="28" t="s">
        <v>777</v>
      </c>
      <c r="B3" s="21" t="n">
        <v>15</v>
      </c>
      <c r="C3" s="29" t="s">
        <v>778</v>
      </c>
      <c r="D3" s="28" t="s">
        <v>779</v>
      </c>
    </row>
    <row r="4" customFormat="false" ht="15" hidden="false" customHeight="false" outlineLevel="0" collapsed="false">
      <c r="A4" s="30" t="s">
        <v>780</v>
      </c>
      <c r="B4" s="24" t="n">
        <v>8</v>
      </c>
      <c r="C4" s="30" t="s">
        <v>781</v>
      </c>
      <c r="D4" s="30" t="s">
        <v>782</v>
      </c>
    </row>
    <row r="5" customFormat="false" ht="15" hidden="false" customHeight="false" outlineLevel="0" collapsed="false">
      <c r="A5" s="28" t="s">
        <v>783</v>
      </c>
      <c r="B5" s="21" t="n">
        <v>8</v>
      </c>
      <c r="C5" s="28" t="s">
        <v>784</v>
      </c>
      <c r="D5" s="28" t="s">
        <v>785</v>
      </c>
    </row>
    <row r="6" customFormat="false" ht="15" hidden="false" customHeight="false" outlineLevel="0" collapsed="false">
      <c r="A6" s="30" t="s">
        <v>786</v>
      </c>
      <c r="B6" s="24" t="n">
        <v>10</v>
      </c>
      <c r="C6" s="30" t="s">
        <v>787</v>
      </c>
      <c r="D6" s="30" t="s">
        <v>788</v>
      </c>
    </row>
    <row r="7" customFormat="false" ht="15" hidden="false" customHeight="false" outlineLevel="0" collapsed="false">
      <c r="A7" s="28" t="s">
        <v>789</v>
      </c>
      <c r="B7" s="21" t="n">
        <v>8</v>
      </c>
      <c r="C7" s="28" t="s">
        <v>790</v>
      </c>
      <c r="D7" s="28" t="s">
        <v>791</v>
      </c>
    </row>
    <row r="8" customFormat="false" ht="15" hidden="false" customHeight="false" outlineLevel="0" collapsed="false">
      <c r="A8" s="30" t="s">
        <v>792</v>
      </c>
      <c r="B8" s="24" t="n">
        <v>10</v>
      </c>
      <c r="C8" s="30" t="s">
        <v>793</v>
      </c>
      <c r="D8" s="30" t="s">
        <v>794</v>
      </c>
    </row>
    <row r="9" customFormat="false" ht="15" hidden="false" customHeight="false" outlineLevel="0" collapsed="false">
      <c r="A9" s="28" t="s">
        <v>795</v>
      </c>
      <c r="B9" s="21" t="n">
        <v>5</v>
      </c>
      <c r="C9" s="28" t="s">
        <v>796</v>
      </c>
      <c r="D9" s="28" t="s">
        <v>797</v>
      </c>
    </row>
    <row r="10" customFormat="false" ht="15" hidden="false" customHeight="false" outlineLevel="0" collapsed="false">
      <c r="A10" s="30" t="s">
        <v>798</v>
      </c>
      <c r="B10" s="24" t="n">
        <v>15</v>
      </c>
      <c r="C10" s="31" t="s">
        <v>799</v>
      </c>
      <c r="D10" s="31" t="s">
        <v>800</v>
      </c>
    </row>
    <row r="11" customFormat="false" ht="15" hidden="false" customHeight="false" outlineLevel="0" collapsed="false">
      <c r="A11" s="28" t="s">
        <v>801</v>
      </c>
      <c r="B11" s="21" t="n">
        <v>12</v>
      </c>
      <c r="C11" s="28" t="s">
        <v>802</v>
      </c>
      <c r="D11" s="28" t="s">
        <v>803</v>
      </c>
    </row>
    <row r="12" customFormat="false" ht="15" hidden="false" customHeight="false" outlineLevel="0" collapsed="false">
      <c r="A12" s="30" t="s">
        <v>23</v>
      </c>
      <c r="B12" s="24" t="n">
        <v>9</v>
      </c>
      <c r="C12" s="30" t="s">
        <v>804</v>
      </c>
      <c r="D12" s="30" t="s">
        <v>805</v>
      </c>
    </row>
    <row r="14" customFormat="false" ht="17.15" hidden="false" customHeight="false" outlineLevel="0" collapsed="false">
      <c r="A14" s="32" t="s">
        <v>806</v>
      </c>
      <c r="B14" s="32"/>
      <c r="C14" s="32"/>
      <c r="D14" s="32"/>
    </row>
    <row r="15" customFormat="false" ht="15" hidden="false" customHeight="false" outlineLevel="0" collapsed="false">
      <c r="A15" s="33" t="s">
        <v>807</v>
      </c>
      <c r="C15" s="34" t="s">
        <v>808</v>
      </c>
    </row>
    <row r="16" customFormat="false" ht="15" hidden="false" customHeight="false" outlineLevel="0" collapsed="false">
      <c r="A16" s="33" t="s">
        <v>809</v>
      </c>
      <c r="C16" s="34" t="s">
        <v>810</v>
      </c>
    </row>
    <row r="17" customFormat="false" ht="15" hidden="false" customHeight="false" outlineLevel="0" collapsed="false">
      <c r="A17" s="33" t="s">
        <v>811</v>
      </c>
      <c r="C17" s="34" t="s">
        <v>812</v>
      </c>
    </row>
    <row r="19" customFormat="false" ht="14.15" hidden="false" customHeight="false" outlineLevel="0" collapsed="false">
      <c r="A19" s="35" t="s">
        <v>813</v>
      </c>
      <c r="B19" s="35"/>
      <c r="C19" s="35"/>
      <c r="D19" s="35"/>
    </row>
  </sheetData>
  <mergeCells count="3">
    <mergeCell ref="A1:D1"/>
    <mergeCell ref="A14:D14"/>
    <mergeCell ref="A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2026-04-11T15:16:14Z</dcterms:created>
  <dc:creator>openpyxl</dc:creator>
  <dc:description/>
  <dc:language>en-US</dc:language>
  <cp:lastModifiedBy/>
  <dcterms:modified xsi:type="dcterms:W3CDTF">2026-04-11T15:16:14Z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