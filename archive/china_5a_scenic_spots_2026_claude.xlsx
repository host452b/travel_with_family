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A景区综合评估" sheetId="1" state="visible" r:id="rId3"/>
    <sheet name="各省统计汇总" sheetId="2" state="visible" r:id="rId4"/>
    <sheet name="评分说明与权重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<sst xmlns="http://schemas.openxmlformats.org/spreadsheetml/2006/main" count="2248" uniqueCount="846">
  <si>
    <r>
      <rPr>
        <b val="true"/>
        <sz val="16"/>
        <color rgb="FF1F4E79"/>
        <rFont val="Noto Sans CJK SC"/>
        <family val="2"/>
      </rPr>
      <t xml:space="preserve">中国 </t>
    </r>
    <r>
      <rPr>
        <b val="true"/>
        <sz val="16"/>
        <color rgb="FF1F4E79"/>
        <rFont val="Arial"/>
        <family val="0"/>
        <charset val="1"/>
      </rPr>
      <t xml:space="preserve">5A </t>
    </r>
    <r>
      <rPr>
        <b val="true"/>
        <sz val="16"/>
        <color rgb="FF1F4E79"/>
        <rFont val="Noto Sans CJK SC"/>
        <family val="2"/>
      </rPr>
      <t xml:space="preserve">级旅游景区综合量化评估报告（截至</t>
    </r>
    <r>
      <rPr>
        <b val="true"/>
        <sz val="16"/>
        <color rgb="FF1F4E79"/>
        <rFont val="Arial"/>
        <family val="0"/>
        <charset val="1"/>
      </rPr>
      <t xml:space="preserve">2025</t>
    </r>
    <r>
      <rPr>
        <b val="true"/>
        <sz val="16"/>
        <color rgb="FF1F4E79"/>
        <rFont val="Noto Sans CJK SC"/>
        <family val="2"/>
      </rPr>
      <t xml:space="preserve">年</t>
    </r>
    <r>
      <rPr>
        <b val="true"/>
        <sz val="16"/>
        <color rgb="FF1F4E79"/>
        <rFont val="Arial"/>
        <family val="0"/>
        <charset val="1"/>
      </rPr>
      <t xml:space="preserve">12</t>
    </r>
    <r>
      <rPr>
        <b val="true"/>
        <sz val="16"/>
        <color rgb="FF1F4E79"/>
        <rFont val="Noto Sans CJK SC"/>
        <family val="2"/>
      </rPr>
      <t xml:space="preserve">月</t>
    </r>
    <r>
      <rPr>
        <b val="true"/>
        <sz val="16"/>
        <color rgb="FF1F4E79"/>
        <rFont val="Arial"/>
        <family val="0"/>
        <charset val="1"/>
      </rPr>
      <t xml:space="preserve">·358</t>
    </r>
    <r>
      <rPr>
        <b val="true"/>
        <sz val="16"/>
        <color rgb="FF1F4E79"/>
        <rFont val="Noto Sans CJK SC"/>
        <family val="2"/>
      </rPr>
      <t xml:space="preserve">家）</t>
    </r>
  </si>
  <si>
    <r>
      <rPr>
        <sz val="9"/>
        <color rgb="FF666666"/>
        <rFont val="Noto Sans CJK SC"/>
        <family val="2"/>
      </rPr>
      <t xml:space="preserve">数据来源：文化和旅游部官方数据 </t>
    </r>
    <r>
      <rPr>
        <sz val="9"/>
        <color rgb="FF666666"/>
        <rFont val="Arial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携程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马蜂窝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大众点评等平台综合口碑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评分满分</t>
    </r>
    <r>
      <rPr>
        <sz val="9"/>
        <color rgb="FF666666"/>
        <rFont val="Arial"/>
        <family val="0"/>
        <charset val="1"/>
      </rPr>
      <t xml:space="preserve">10</t>
    </r>
    <r>
      <rPr>
        <sz val="9"/>
        <color rgb="FF666666"/>
        <rFont val="Noto Sans CJK SC"/>
        <family val="2"/>
      </rPr>
      <t xml:space="preserve">分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综合加权满意度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各指标加权计算</t>
    </r>
  </si>
  <si>
    <t xml:space="preserve">序号</t>
  </si>
  <si>
    <r>
      <rPr>
        <b val="true"/>
        <sz val="11"/>
        <color rgb="FFFFFFFF"/>
        <rFont val="Noto Sans CJK SC"/>
        <family val="2"/>
      </rPr>
      <t xml:space="preserve">省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自治区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直辖市</t>
    </r>
  </si>
  <si>
    <r>
      <rPr>
        <b val="true"/>
        <sz val="11"/>
        <color rgb="FFFFFFFF"/>
        <rFont val="Noto Sans CJK SC"/>
        <family val="2"/>
      </rPr>
      <t xml:space="preserve">城市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地区</t>
    </r>
  </si>
  <si>
    <t xml:space="preserve">景区名称</t>
  </si>
  <si>
    <t xml:space="preserve">景区类型</t>
  </si>
  <si>
    <r>
      <rPr>
        <b val="true"/>
        <sz val="11"/>
        <color rgb="FFFFFFFF"/>
        <rFont val="Noto Sans CJK SC"/>
        <family val="2"/>
      </rPr>
      <t xml:space="preserve">游客口碑
</t>
    </r>
    <r>
      <rPr>
        <b val="true"/>
        <sz val="11"/>
        <color rgb="FFFFFFFF"/>
        <rFont val="Arial"/>
        <family val="0"/>
        <charset val="1"/>
      </rPr>
      <t xml:space="preserve">(10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</si>
  <si>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亲子
友好度</t>
  </si>
  <si>
    <t xml:space="preserve">老人
友好度</t>
  </si>
  <si>
    <t xml:space="preserve">夫妻
友好度</t>
  </si>
  <si>
    <t xml:space="preserve">一人游
友好度</t>
  </si>
  <si>
    <r>
      <rPr>
        <b val="true"/>
        <sz val="11"/>
        <color rgb="FFFFFFFF"/>
        <rFont val="Noto Sans CJK SC"/>
        <family val="2"/>
      </rPr>
      <t xml:space="preserve">建议游览
时长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</si>
  <si>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日均酒景
预算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</si>
  <si>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交通
可达性</t>
  </si>
  <si>
    <t xml:space="preserve">全年
适宜度</t>
  </si>
  <si>
    <t xml:space="preserve">最佳旅游
季节</t>
  </si>
  <si>
    <t xml:space="preserve">最佳
月份</t>
  </si>
  <si>
    <r>
      <rPr>
        <b val="true"/>
        <sz val="11"/>
        <color rgb="FFFFFFFF"/>
        <rFont val="Noto Sans CJK SC"/>
        <family val="2"/>
      </rPr>
      <t xml:space="preserve">文化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生态
独特价值</t>
    </r>
  </si>
  <si>
    <t xml:space="preserve">基础设施
与配套</t>
  </si>
  <si>
    <t xml:space="preserve">性价比</t>
  </si>
  <si>
    <t xml:space="preserve">综合加权
满意度</t>
  </si>
  <si>
    <t xml:space="preserve">北京</t>
  </si>
  <si>
    <t xml:space="preserve">东城区</t>
  </si>
  <si>
    <t xml:space="preserve">故宫博物院</t>
  </si>
  <si>
    <t xml:space="preserve">历史文化</t>
  </si>
  <si>
    <t xml:space="preserve">春秋</t>
  </si>
  <si>
    <r>
      <rPr>
        <sz val="10"/>
        <rFont val="Arial"/>
        <family val="0"/>
        <charset val="1"/>
      </rPr>
      <t xml:space="preserve">4-5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/9-10</t>
    </r>
    <r>
      <rPr>
        <sz val="10"/>
        <rFont val="Noto Sans CJK SC"/>
        <family val="2"/>
      </rPr>
      <t xml:space="preserve">月</t>
    </r>
  </si>
  <si>
    <t xml:space="preserve">海淀区</t>
  </si>
  <si>
    <t xml:space="preserve">颐和园</t>
  </si>
  <si>
    <t xml:space="preserve">皇家园林</t>
  </si>
  <si>
    <t xml:space="preserve">春秋夏</t>
  </si>
  <si>
    <r>
      <rPr>
        <sz val="10"/>
        <rFont val="Arial"/>
        <family val="0"/>
        <charset val="1"/>
      </rPr>
      <t xml:space="preserve">4-10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</si>
  <si>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延庆区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怀柔区</t>
    </r>
  </si>
  <si>
    <r>
      <rPr>
        <b val="true"/>
        <sz val="10"/>
        <rFont val="Noto Sans CJK SC"/>
        <family val="2"/>
      </rPr>
      <t xml:space="preserve">八达岭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慕田峪长城旅游区</t>
    </r>
  </si>
  <si>
    <t xml:space="preserve">天坛公园</t>
  </si>
  <si>
    <t xml:space="preserve">四季</t>
  </si>
  <si>
    <r>
      <rPr>
        <sz val="10"/>
        <rFont val="Arial"/>
        <family val="0"/>
        <charset val="1"/>
      </rPr>
      <t xml:space="preserve">3-11</t>
    </r>
    <r>
      <rPr>
        <sz val="10"/>
        <rFont val="Noto Sans CJK SC"/>
        <family val="2"/>
      </rPr>
      <t xml:space="preserve">月</t>
    </r>
  </si>
  <si>
    <t xml:space="preserve">昌平区</t>
  </si>
  <si>
    <t xml:space="preserve">明十三陵景区</t>
  </si>
  <si>
    <t xml:space="preserve">西城区</t>
  </si>
  <si>
    <t xml:space="preserve">恭王府景区</t>
  </si>
  <si>
    <t xml:space="preserve">朝阳区</t>
  </si>
  <si>
    <t xml:space="preserve">奥林匹克公园</t>
  </si>
  <si>
    <t xml:space="preserve">现代景观</t>
  </si>
  <si>
    <r>
      <rPr>
        <sz val="10"/>
        <rFont val="Arial"/>
        <family val="0"/>
        <charset val="1"/>
      </rPr>
      <t xml:space="preserve">5-10</t>
    </r>
    <r>
      <rPr>
        <sz val="10"/>
        <rFont val="Noto Sans CJK SC"/>
        <family val="2"/>
      </rPr>
      <t xml:space="preserve">月</t>
    </r>
  </si>
  <si>
    <t xml:space="preserve">圆明园景区</t>
  </si>
  <si>
    <t xml:space="preserve">历史遗址</t>
  </si>
  <si>
    <t xml:space="preserve">春夏秋</t>
  </si>
  <si>
    <t xml:space="preserve">通州区</t>
  </si>
  <si>
    <t xml:space="preserve">大运河文化旅游景区</t>
  </si>
  <si>
    <t xml:space="preserve">文化旅游</t>
  </si>
  <si>
    <t xml:space="preserve">天津</t>
  </si>
  <si>
    <t xml:space="preserve">南开区</t>
  </si>
  <si>
    <t xml:space="preserve">天津古文化街旅游区</t>
  </si>
  <si>
    <t xml:space="preserve">蓟州区</t>
  </si>
  <si>
    <t xml:space="preserve">盘山风景名胜区</t>
  </si>
  <si>
    <t xml:space="preserve">自然山岳</t>
  </si>
  <si>
    <t xml:space="preserve">河北</t>
  </si>
  <si>
    <t xml:space="preserve">秦皇岛市</t>
  </si>
  <si>
    <t xml:space="preserve">山海关景区</t>
  </si>
  <si>
    <t xml:space="preserve">夏秋</t>
  </si>
  <si>
    <t xml:space="preserve">承德市</t>
  </si>
  <si>
    <t xml:space="preserve">承德避暑山庄及周围寺庙</t>
  </si>
  <si>
    <r>
      <rPr>
        <sz val="10"/>
        <rFont val="Arial"/>
        <family val="0"/>
        <charset val="1"/>
      </rPr>
      <t xml:space="preserve">6-9</t>
    </r>
    <r>
      <rPr>
        <sz val="10"/>
        <rFont val="Noto Sans CJK SC"/>
        <family val="2"/>
      </rPr>
      <t xml:space="preserve">月</t>
    </r>
  </si>
  <si>
    <t xml:space="preserve">保定市</t>
  </si>
  <si>
    <t xml:space="preserve">安新白洋淀景区</t>
  </si>
  <si>
    <t xml:space="preserve">自然生态</t>
  </si>
  <si>
    <t xml:space="preserve">夏</t>
  </si>
  <si>
    <r>
      <rPr>
        <sz val="10"/>
        <rFont val="Arial"/>
        <family val="0"/>
        <charset val="1"/>
      </rPr>
      <t xml:space="preserve">6-8</t>
    </r>
    <r>
      <rPr>
        <sz val="10"/>
        <rFont val="Noto Sans CJK SC"/>
        <family val="2"/>
      </rPr>
      <t xml:space="preserve">月</t>
    </r>
  </si>
  <si>
    <t xml:space="preserve">野三坡风景名胜区</t>
  </si>
  <si>
    <t xml:space="preserve">自然山水</t>
  </si>
  <si>
    <t xml:space="preserve">石家庄市</t>
  </si>
  <si>
    <t xml:space="preserve">西柏坡景区</t>
  </si>
  <si>
    <t xml:space="preserve">红色旅游</t>
  </si>
  <si>
    <t xml:space="preserve">邯郸市</t>
  </si>
  <si>
    <t xml:space="preserve">娲皇宫景区</t>
  </si>
  <si>
    <t xml:space="preserve">清西陵景区</t>
  </si>
  <si>
    <t xml:space="preserve">邢台市</t>
  </si>
  <si>
    <t xml:space="preserve">崆山白云洞景区</t>
  </si>
  <si>
    <t xml:space="preserve">自然溶洞</t>
  </si>
  <si>
    <t xml:space="preserve">唐山市</t>
  </si>
  <si>
    <t xml:space="preserve">清东陵景区</t>
  </si>
  <si>
    <t xml:space="preserve">正定古城景区</t>
  </si>
  <si>
    <t xml:space="preserve">白石山景区</t>
  </si>
  <si>
    <t xml:space="preserve">衡水市</t>
  </si>
  <si>
    <t xml:space="preserve">衡水湖旅游景区</t>
  </si>
  <si>
    <t xml:space="preserve">山西</t>
  </si>
  <si>
    <t xml:space="preserve">大同市</t>
  </si>
  <si>
    <t xml:space="preserve">云冈石窟</t>
  </si>
  <si>
    <t xml:space="preserve">忻州市</t>
  </si>
  <si>
    <t xml:space="preserve">五台山风景名胜区</t>
  </si>
  <si>
    <t xml:space="preserve">宗教文化</t>
  </si>
  <si>
    <t xml:space="preserve">晋中市</t>
  </si>
  <si>
    <t xml:space="preserve">平遥古城</t>
  </si>
  <si>
    <t xml:space="preserve">晋城市</t>
  </si>
  <si>
    <t xml:space="preserve">皇城相府景区</t>
  </si>
  <si>
    <r>
      <rPr>
        <sz val="10"/>
        <rFont val="Noto Sans CJK SC"/>
        <family val="2"/>
      </rPr>
      <t xml:space="preserve">临汾市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延安市</t>
    </r>
  </si>
  <si>
    <t xml:space="preserve">黄河壶口瀑布旅游区</t>
  </si>
  <si>
    <t xml:space="preserve">自然景观</t>
  </si>
  <si>
    <t xml:space="preserve">介休市</t>
  </si>
  <si>
    <t xml:space="preserve">绵山风景区</t>
  </si>
  <si>
    <t xml:space="preserve">自然人文</t>
  </si>
  <si>
    <t xml:space="preserve">运城市</t>
  </si>
  <si>
    <t xml:space="preserve">关帝庙景区</t>
  </si>
  <si>
    <t xml:space="preserve">雁门关景区</t>
  </si>
  <si>
    <t xml:space="preserve">长治市</t>
  </si>
  <si>
    <t xml:space="preserve">太行山大峡谷八泉峡景区</t>
  </si>
  <si>
    <t xml:space="preserve">自然峡谷</t>
  </si>
  <si>
    <t xml:space="preserve">太原市</t>
  </si>
  <si>
    <t xml:space="preserve">晋祠天龙山景区</t>
  </si>
  <si>
    <t xml:space="preserve">内蒙古</t>
  </si>
  <si>
    <t xml:space="preserve">鄂尔多斯市</t>
  </si>
  <si>
    <t xml:space="preserve">成吉思汗陵旅游区</t>
  </si>
  <si>
    <t xml:space="preserve">赤峰市</t>
  </si>
  <si>
    <t xml:space="preserve">克什克腾石阵景区</t>
  </si>
  <si>
    <t xml:space="preserve">自然地质</t>
  </si>
  <si>
    <t xml:space="preserve">响沙湾旅游景区</t>
  </si>
  <si>
    <t xml:space="preserve">沙漠旅游</t>
  </si>
  <si>
    <r>
      <rPr>
        <sz val="10"/>
        <rFont val="Arial"/>
        <family val="0"/>
        <charset val="1"/>
      </rPr>
      <t xml:space="preserve">5-6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/9-10</t>
    </r>
    <r>
      <rPr>
        <sz val="10"/>
        <rFont val="Noto Sans CJK SC"/>
        <family val="2"/>
      </rPr>
      <t xml:space="preserve">月</t>
    </r>
  </si>
  <si>
    <t xml:space="preserve">阿拉善盟</t>
  </si>
  <si>
    <t xml:space="preserve">额济纳胡杨林旅游区</t>
  </si>
  <si>
    <t xml:space="preserve">秋</t>
  </si>
  <si>
    <r>
      <rPr>
        <sz val="10"/>
        <rFont val="Arial"/>
        <family val="0"/>
        <charset val="1"/>
      </rPr>
      <t xml:space="preserve">9-10</t>
    </r>
    <r>
      <rPr>
        <sz val="10"/>
        <rFont val="Noto Sans CJK SC"/>
        <family val="2"/>
      </rPr>
      <t xml:space="preserve">月</t>
    </r>
  </si>
  <si>
    <t xml:space="preserve">满洲里市</t>
  </si>
  <si>
    <t xml:space="preserve">满洲里中俄边境旅游区</t>
  </si>
  <si>
    <t xml:space="preserve">边境文化</t>
  </si>
  <si>
    <t xml:space="preserve">阿尔山市</t>
  </si>
  <si>
    <r>
      <rPr>
        <b val="true"/>
        <sz val="10"/>
        <rFont val="Noto Sans CJK SC"/>
        <family val="2"/>
      </rPr>
      <t xml:space="preserve">阿尔山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柴河旅游景区</t>
    </r>
  </si>
  <si>
    <t xml:space="preserve">呼和浩特市</t>
  </si>
  <si>
    <t xml:space="preserve">老牛湾黄河大峡谷旅游区</t>
  </si>
  <si>
    <t xml:space="preserve">辽宁</t>
  </si>
  <si>
    <t xml:space="preserve">沈阳市</t>
  </si>
  <si>
    <t xml:space="preserve">沈阳植物园</t>
  </si>
  <si>
    <t xml:space="preserve">生态园林</t>
  </si>
  <si>
    <t xml:space="preserve">大连市</t>
  </si>
  <si>
    <t xml:space="preserve">金石滩国家旅游度假区</t>
  </si>
  <si>
    <t xml:space="preserve">海滨度假</t>
  </si>
  <si>
    <t xml:space="preserve">老虎滩海洋公园</t>
  </si>
  <si>
    <t xml:space="preserve">海洋主题</t>
  </si>
  <si>
    <t xml:space="preserve">本溪市</t>
  </si>
  <si>
    <t xml:space="preserve">本溪水洞景区</t>
  </si>
  <si>
    <t xml:space="preserve">鞍山市</t>
  </si>
  <si>
    <t xml:space="preserve">千山景区</t>
  </si>
  <si>
    <t xml:space="preserve">丹东市</t>
  </si>
  <si>
    <t xml:space="preserve">鸭绿江景区</t>
  </si>
  <si>
    <t xml:space="preserve">边境风光</t>
  </si>
  <si>
    <t xml:space="preserve">吉林</t>
  </si>
  <si>
    <t xml:space="preserve">延边州</t>
  </si>
  <si>
    <t xml:space="preserve">长白山景区</t>
  </si>
  <si>
    <t xml:space="preserve">自然火山</t>
  </si>
  <si>
    <t xml:space="preserve">夏秋冬</t>
  </si>
  <si>
    <r>
      <rPr>
        <sz val="10"/>
        <rFont val="Arial"/>
        <family val="0"/>
        <charset val="1"/>
      </rPr>
      <t xml:space="preserve">7-9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/12-2</t>
    </r>
    <r>
      <rPr>
        <sz val="10"/>
        <rFont val="Noto Sans CJK SC"/>
        <family val="2"/>
      </rPr>
      <t xml:space="preserve">月</t>
    </r>
  </si>
  <si>
    <t xml:space="preserve">吉林市</t>
  </si>
  <si>
    <t xml:space="preserve">长白山鲁能胜地旅游度假区</t>
  </si>
  <si>
    <t xml:space="preserve">度假休闲</t>
  </si>
  <si>
    <t xml:space="preserve">夏冬</t>
  </si>
  <si>
    <r>
      <rPr>
        <sz val="10"/>
        <rFont val="Arial"/>
        <family val="0"/>
        <charset val="1"/>
      </rPr>
      <t xml:space="preserve">6-9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/12-2</t>
    </r>
    <r>
      <rPr>
        <sz val="10"/>
        <rFont val="Noto Sans CJK SC"/>
        <family val="2"/>
      </rPr>
      <t xml:space="preserve">月</t>
    </r>
  </si>
  <si>
    <t xml:space="preserve">长春市</t>
  </si>
  <si>
    <t xml:space="preserve">伪满皇宫博物院</t>
  </si>
  <si>
    <t xml:space="preserve">长影世纪城</t>
  </si>
  <si>
    <t xml:space="preserve">影视主题</t>
  </si>
  <si>
    <t xml:space="preserve">净月潭景区</t>
  </si>
  <si>
    <r>
      <rPr>
        <sz val="10"/>
        <rFont val="Arial"/>
        <family val="0"/>
        <charset val="1"/>
      </rPr>
      <t xml:space="preserve">5-10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/12-2</t>
    </r>
    <r>
      <rPr>
        <sz val="10"/>
        <rFont val="Noto Sans CJK SC"/>
        <family val="2"/>
      </rPr>
      <t xml:space="preserve">月</t>
    </r>
  </si>
  <si>
    <t xml:space="preserve">通化市</t>
  </si>
  <si>
    <t xml:space="preserve">高句丽文物古迹旅游景区</t>
  </si>
  <si>
    <t xml:space="preserve">历史遗迹</t>
  </si>
  <si>
    <t xml:space="preserve">敦化市</t>
  </si>
  <si>
    <t xml:space="preserve">六鼎山文化旅游区</t>
  </si>
  <si>
    <t xml:space="preserve">大安市</t>
  </si>
  <si>
    <t xml:space="preserve">大安嫩江湾旅游区</t>
  </si>
  <si>
    <r>
      <rPr>
        <sz val="10"/>
        <rFont val="Arial"/>
        <family val="0"/>
        <charset val="1"/>
      </rPr>
      <t xml:space="preserve">5-9</t>
    </r>
    <r>
      <rPr>
        <sz val="10"/>
        <rFont val="Noto Sans CJK SC"/>
        <family val="2"/>
      </rPr>
      <t xml:space="preserve">月</t>
    </r>
  </si>
  <si>
    <t xml:space="preserve">黑龙江</t>
  </si>
  <si>
    <t xml:space="preserve">哈尔滨市</t>
  </si>
  <si>
    <t xml:space="preserve">太阳岛景区</t>
  </si>
  <si>
    <t xml:space="preserve">城市公园</t>
  </si>
  <si>
    <r>
      <rPr>
        <sz val="10"/>
        <rFont val="Arial"/>
        <family val="0"/>
        <charset val="1"/>
      </rPr>
      <t xml:space="preserve">6-8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/12-2</t>
    </r>
    <r>
      <rPr>
        <sz val="10"/>
        <rFont val="Noto Sans CJK SC"/>
        <family val="2"/>
      </rPr>
      <t xml:space="preserve">月</t>
    </r>
  </si>
  <si>
    <t xml:space="preserve">黑河市</t>
  </si>
  <si>
    <t xml:space="preserve">五大连池风景区</t>
  </si>
  <si>
    <t xml:space="preserve">伊春市</t>
  </si>
  <si>
    <t xml:space="preserve">汤旺河林海奇石景区</t>
  </si>
  <si>
    <t xml:space="preserve">自然森林</t>
  </si>
  <si>
    <t xml:space="preserve">牡丹江市</t>
  </si>
  <si>
    <t xml:space="preserve">镜泊湖景区</t>
  </si>
  <si>
    <t xml:space="preserve">自然湖泊</t>
  </si>
  <si>
    <t xml:space="preserve">哈尔滨冰雪大世界</t>
  </si>
  <si>
    <t xml:space="preserve">冰雪主题</t>
  </si>
  <si>
    <t xml:space="preserve">冬</t>
  </si>
  <si>
    <r>
      <rPr>
        <sz val="10"/>
        <rFont val="Arial"/>
        <family val="0"/>
        <charset val="1"/>
      </rPr>
      <t xml:space="preserve">12-2</t>
    </r>
    <r>
      <rPr>
        <sz val="10"/>
        <rFont val="Noto Sans CJK SC"/>
        <family val="2"/>
      </rPr>
      <t xml:space="preserve">月</t>
    </r>
  </si>
  <si>
    <t xml:space="preserve">齐齐哈尔市</t>
  </si>
  <si>
    <t xml:space="preserve">扎龙生态旅游区</t>
  </si>
  <si>
    <t xml:space="preserve">上海</t>
  </si>
  <si>
    <t xml:space="preserve">浦东新区</t>
  </si>
  <si>
    <t xml:space="preserve">上海科技馆</t>
  </si>
  <si>
    <t xml:space="preserve">科技场馆</t>
  </si>
  <si>
    <t xml:space="preserve">全年</t>
  </si>
  <si>
    <t xml:space="preserve">上海野生动物园</t>
  </si>
  <si>
    <t xml:space="preserve">动物园</t>
  </si>
  <si>
    <r>
      <rPr>
        <sz val="10"/>
        <rFont val="Arial"/>
        <family val="0"/>
        <charset val="1"/>
      </rPr>
      <t xml:space="preserve">3-5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/9-11</t>
    </r>
    <r>
      <rPr>
        <sz val="10"/>
        <rFont val="Noto Sans CJK SC"/>
        <family val="2"/>
      </rPr>
      <t xml:space="preserve">月</t>
    </r>
  </si>
  <si>
    <t xml:space="preserve">东方明珠广播电视塔</t>
  </si>
  <si>
    <t xml:space="preserve">现代地标</t>
  </si>
  <si>
    <t xml:space="preserve">青浦区</t>
  </si>
  <si>
    <t xml:space="preserve">上海朱家角古镇景区</t>
  </si>
  <si>
    <t xml:space="preserve">古镇水乡</t>
  </si>
  <si>
    <t xml:space="preserve">江苏</t>
  </si>
  <si>
    <t xml:space="preserve">南京市</t>
  </si>
  <si>
    <r>
      <rPr>
        <b val="true"/>
        <sz val="10"/>
        <rFont val="Noto Sans CJK SC"/>
        <family val="2"/>
      </rPr>
      <t xml:space="preserve">钟山风景名胜区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中山陵园</t>
    </r>
  </si>
  <si>
    <r>
      <rPr>
        <b val="true"/>
        <sz val="10"/>
        <rFont val="Noto Sans CJK SC"/>
        <family val="2"/>
      </rPr>
      <t xml:space="preserve">夫子庙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秦淮风光带</t>
    </r>
  </si>
  <si>
    <t xml:space="preserve">苏州市</t>
  </si>
  <si>
    <t xml:space="preserve">拙政园</t>
  </si>
  <si>
    <t xml:space="preserve">古典园林</t>
  </si>
  <si>
    <t xml:space="preserve">周庄古镇</t>
  </si>
  <si>
    <t xml:space="preserve">金鸡湖景区</t>
  </si>
  <si>
    <t xml:space="preserve">城市湖泊</t>
  </si>
  <si>
    <t xml:space="preserve">吴中太湖旅游区</t>
  </si>
  <si>
    <r>
      <rPr>
        <b val="true"/>
        <sz val="10"/>
        <rFont val="Noto Sans CJK SC"/>
        <family val="2"/>
      </rPr>
      <t xml:space="preserve">沙家浜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虞山尚湖旅游区</t>
    </r>
  </si>
  <si>
    <t xml:space="preserve">红色生态</t>
  </si>
  <si>
    <t xml:space="preserve">无锡市</t>
  </si>
  <si>
    <t xml:space="preserve">鼋头渚旅游风景区</t>
  </si>
  <si>
    <t xml:space="preserve">春</t>
  </si>
  <si>
    <r>
      <rPr>
        <sz val="10"/>
        <rFont val="Arial"/>
        <family val="0"/>
        <charset val="1"/>
      </rPr>
      <t xml:space="preserve">3-4</t>
    </r>
    <r>
      <rPr>
        <sz val="10"/>
        <rFont val="Noto Sans CJK SC"/>
        <family val="2"/>
      </rPr>
      <t xml:space="preserve">月</t>
    </r>
  </si>
  <si>
    <t xml:space="preserve">灵山大佛景区</t>
  </si>
  <si>
    <t xml:space="preserve">三国水浒城</t>
  </si>
  <si>
    <t xml:space="preserve">常州市</t>
  </si>
  <si>
    <t xml:space="preserve">环球恐龙城休闲旅游区</t>
  </si>
  <si>
    <t xml:space="preserve">主题乐园</t>
  </si>
  <si>
    <t xml:space="preserve">扬州市</t>
  </si>
  <si>
    <t xml:space="preserve">瘦西湖风景区</t>
  </si>
  <si>
    <r>
      <rPr>
        <sz val="10"/>
        <rFont val="Arial"/>
        <family val="0"/>
        <charset val="1"/>
      </rPr>
      <t xml:space="preserve">3-5</t>
    </r>
    <r>
      <rPr>
        <sz val="10"/>
        <rFont val="Noto Sans CJK SC"/>
        <family val="2"/>
      </rPr>
      <t xml:space="preserve">月</t>
    </r>
  </si>
  <si>
    <t xml:space="preserve">镇江市</t>
  </si>
  <si>
    <r>
      <rPr>
        <b val="true"/>
        <sz val="10"/>
        <rFont val="Noto Sans CJK SC"/>
        <family val="2"/>
      </rPr>
      <t xml:space="preserve">金山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焦山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北固山旅游景区</t>
    </r>
  </si>
  <si>
    <t xml:space="preserve">南通市</t>
  </si>
  <si>
    <t xml:space="preserve">濠河景区</t>
  </si>
  <si>
    <t xml:space="preserve">城市风光</t>
  </si>
  <si>
    <t xml:space="preserve">泰州市</t>
  </si>
  <si>
    <t xml:space="preserve">溱湖国家湿地公园</t>
  </si>
  <si>
    <t xml:space="preserve">自然湿地</t>
  </si>
  <si>
    <t xml:space="preserve">淮安市</t>
  </si>
  <si>
    <t xml:space="preserve">周恩来故里景区</t>
  </si>
  <si>
    <t xml:space="preserve">盐城市</t>
  </si>
  <si>
    <t xml:space="preserve">中华麋鹿园</t>
  </si>
  <si>
    <t xml:space="preserve">连云港市</t>
  </si>
  <si>
    <t xml:space="preserve">花果山景区</t>
  </si>
  <si>
    <t xml:space="preserve">徐州市</t>
  </si>
  <si>
    <t xml:space="preserve">云龙湖景区</t>
  </si>
  <si>
    <t xml:space="preserve">牛首山文化旅游区</t>
  </si>
  <si>
    <t xml:space="preserve">同里古镇</t>
  </si>
  <si>
    <t xml:space="preserve">天目湖景区</t>
  </si>
  <si>
    <t xml:space="preserve">宿迁市</t>
  </si>
  <si>
    <t xml:space="preserve">三台山国家森林公园</t>
  </si>
  <si>
    <t xml:space="preserve">栖霞山风景名胜区</t>
  </si>
  <si>
    <r>
      <rPr>
        <sz val="10"/>
        <rFont val="Arial"/>
        <family val="0"/>
        <charset val="1"/>
      </rPr>
      <t xml:space="preserve">10-12</t>
    </r>
    <r>
      <rPr>
        <sz val="10"/>
        <rFont val="Noto Sans CJK SC"/>
        <family val="2"/>
      </rPr>
      <t xml:space="preserve">月</t>
    </r>
  </si>
  <si>
    <t xml:space="preserve">虎丘山风景名胜区</t>
  </si>
  <si>
    <t xml:space="preserve">徐州汉文化景区</t>
  </si>
  <si>
    <t xml:space="preserve">浙江</t>
  </si>
  <si>
    <t xml:space="preserve">杭州市</t>
  </si>
  <si>
    <t xml:space="preserve">西湖风景名胜区</t>
  </si>
  <si>
    <t xml:space="preserve">千岛湖风景名胜区</t>
  </si>
  <si>
    <t xml:space="preserve">西溪国家湿地公园</t>
  </si>
  <si>
    <t xml:space="preserve">良渚古城遗址公园</t>
  </si>
  <si>
    <t xml:space="preserve">温州市</t>
  </si>
  <si>
    <t xml:space="preserve">雁荡山风景区</t>
  </si>
  <si>
    <t xml:space="preserve">舟山市</t>
  </si>
  <si>
    <t xml:space="preserve">普陀山风景名胜区</t>
  </si>
  <si>
    <t xml:space="preserve">宁波市</t>
  </si>
  <si>
    <r>
      <rPr>
        <b val="true"/>
        <sz val="10"/>
        <rFont val="Noto Sans CJK SC"/>
        <family val="2"/>
      </rPr>
      <t xml:space="preserve">溪口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滕头旅游景区</t>
    </r>
  </si>
  <si>
    <t xml:space="preserve">历史人文</t>
  </si>
  <si>
    <t xml:space="preserve">嘉兴市</t>
  </si>
  <si>
    <t xml:space="preserve">南湖景区</t>
  </si>
  <si>
    <t xml:space="preserve">乌镇景区</t>
  </si>
  <si>
    <t xml:space="preserve">湖州市</t>
  </si>
  <si>
    <t xml:space="preserve">南浔古镇</t>
  </si>
  <si>
    <t xml:space="preserve">绍兴市</t>
  </si>
  <si>
    <t xml:space="preserve">鲁迅故里沈园景区</t>
  </si>
  <si>
    <t xml:space="preserve">金华市</t>
  </si>
  <si>
    <t xml:space="preserve">东阳横店影视城</t>
  </si>
  <si>
    <t xml:space="preserve">衢州市</t>
  </si>
  <si>
    <r>
      <rPr>
        <b val="true"/>
        <sz val="10"/>
        <rFont val="Noto Sans CJK SC"/>
        <family val="2"/>
      </rPr>
      <t xml:space="preserve">江郎山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廿八都景区</t>
    </r>
  </si>
  <si>
    <t xml:space="preserve">台州市</t>
  </si>
  <si>
    <t xml:space="preserve">天台山景区</t>
  </si>
  <si>
    <t xml:space="preserve">神仙居景区</t>
  </si>
  <si>
    <t xml:space="preserve">丽水市</t>
  </si>
  <si>
    <t xml:space="preserve">仙都国家级风景名胜区</t>
  </si>
  <si>
    <r>
      <rPr>
        <b val="true"/>
        <sz val="10"/>
        <rFont val="Noto Sans CJK SC"/>
        <family val="2"/>
      </rPr>
      <t xml:space="preserve">天一阁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月湖景区</t>
    </r>
  </si>
  <si>
    <t xml:space="preserve">莫干山风景名胜区</t>
  </si>
  <si>
    <t xml:space="preserve">双龙风景旅游区</t>
  </si>
  <si>
    <r>
      <rPr>
        <b val="true"/>
        <sz val="10"/>
        <rFont val="Noto Sans CJK SC"/>
        <family val="2"/>
      </rPr>
      <t xml:space="preserve">富春江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新安江风景名胜区</t>
    </r>
  </si>
  <si>
    <r>
      <rPr>
        <sz val="10"/>
        <rFont val="Arial"/>
        <family val="0"/>
        <charset val="1"/>
      </rPr>
      <t xml:space="preserve">3-5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/9-10</t>
    </r>
    <r>
      <rPr>
        <sz val="10"/>
        <rFont val="Noto Sans CJK SC"/>
        <family val="2"/>
      </rPr>
      <t xml:space="preserve">月</t>
    </r>
  </si>
  <si>
    <t xml:space="preserve">刘伯温故里景区</t>
  </si>
  <si>
    <t xml:space="preserve">会稽山景区</t>
  </si>
  <si>
    <t xml:space="preserve">安徽</t>
  </si>
  <si>
    <t xml:space="preserve">黄山市</t>
  </si>
  <si>
    <t xml:space="preserve">黄山风景区</t>
  </si>
  <si>
    <r>
      <rPr>
        <sz val="10"/>
        <rFont val="Arial"/>
        <family val="0"/>
        <charset val="1"/>
      </rPr>
      <t xml:space="preserve">4-5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/9-11</t>
    </r>
    <r>
      <rPr>
        <sz val="10"/>
        <rFont val="Noto Sans CJK SC"/>
        <family val="2"/>
      </rPr>
      <t xml:space="preserve">月</t>
    </r>
  </si>
  <si>
    <t xml:space="preserve">池州市</t>
  </si>
  <si>
    <t xml:space="preserve">九华山风景区</t>
  </si>
  <si>
    <t xml:space="preserve">安庆市</t>
  </si>
  <si>
    <t xml:space="preserve">天柱山风景区</t>
  </si>
  <si>
    <r>
      <rPr>
        <b val="true"/>
        <sz val="10"/>
        <rFont val="Noto Sans CJK SC"/>
        <family val="2"/>
      </rPr>
      <t xml:space="preserve">西递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宏村</t>
    </r>
  </si>
  <si>
    <t xml:space="preserve">古村落</t>
  </si>
  <si>
    <t xml:space="preserve">古徽州文化旅游区</t>
  </si>
  <si>
    <t xml:space="preserve">六安市</t>
  </si>
  <si>
    <t xml:space="preserve">天堂寨风景区</t>
  </si>
  <si>
    <t xml:space="preserve">芜湖市</t>
  </si>
  <si>
    <t xml:space="preserve">方特旅游区</t>
  </si>
  <si>
    <t xml:space="preserve">合肥市</t>
  </si>
  <si>
    <t xml:space="preserve">三河古镇</t>
  </si>
  <si>
    <t xml:space="preserve">万佛湖景区</t>
  </si>
  <si>
    <r>
      <rPr>
        <b val="true"/>
        <sz val="10"/>
        <rFont val="Noto Sans CJK SC"/>
        <family val="2"/>
      </rPr>
      <t xml:space="preserve">大别山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六安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悠然南山旅游区</t>
    </r>
  </si>
  <si>
    <t xml:space="preserve">宣城市</t>
  </si>
  <si>
    <t xml:space="preserve">龙川景区</t>
  </si>
  <si>
    <t xml:space="preserve">阜阳市</t>
  </si>
  <si>
    <t xml:space="preserve">颍上八里河景区</t>
  </si>
  <si>
    <t xml:space="preserve">滁州市</t>
  </si>
  <si>
    <t xml:space="preserve">琅琊山景区</t>
  </si>
  <si>
    <t xml:space="preserve">铜陵市</t>
  </si>
  <si>
    <t xml:space="preserve">铜陵永泉旅游区</t>
  </si>
  <si>
    <t xml:space="preserve">生态休闲</t>
  </si>
  <si>
    <t xml:space="preserve">福建</t>
  </si>
  <si>
    <t xml:space="preserve">厦门市</t>
  </si>
  <si>
    <t xml:space="preserve">鼓浪屿</t>
  </si>
  <si>
    <t xml:space="preserve">春秋冬</t>
  </si>
  <si>
    <r>
      <rPr>
        <sz val="10"/>
        <rFont val="Arial"/>
        <family val="0"/>
        <charset val="1"/>
      </rPr>
      <t xml:space="preserve">3-5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/10-12</t>
    </r>
    <r>
      <rPr>
        <sz val="10"/>
        <rFont val="Noto Sans CJK SC"/>
        <family val="2"/>
      </rPr>
      <t xml:space="preserve">月</t>
    </r>
  </si>
  <si>
    <t xml:space="preserve">南平市</t>
  </si>
  <si>
    <t xml:space="preserve">武夷山风景名胜区</t>
  </si>
  <si>
    <r>
      <rPr>
        <sz val="10"/>
        <rFont val="Arial"/>
        <family val="0"/>
        <charset val="1"/>
      </rPr>
      <t xml:space="preserve">4-6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/9-11</t>
    </r>
    <r>
      <rPr>
        <sz val="10"/>
        <rFont val="Noto Sans CJK SC"/>
        <family val="2"/>
      </rPr>
      <t xml:space="preserve">月</t>
    </r>
  </si>
  <si>
    <t xml:space="preserve">龙岩市</t>
  </si>
  <si>
    <r>
      <rPr>
        <b val="true"/>
        <sz val="10"/>
        <rFont val="Noto Sans CJK SC"/>
        <family val="2"/>
      </rPr>
      <t xml:space="preserve">福建土楼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永定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南靖</t>
    </r>
    <r>
      <rPr>
        <b val="true"/>
        <sz val="10"/>
        <rFont val="Arial"/>
        <family val="0"/>
        <charset val="1"/>
      </rPr>
      <t xml:space="preserve">)</t>
    </r>
  </si>
  <si>
    <t xml:space="preserve">历史建筑</t>
  </si>
  <si>
    <t xml:space="preserve">泉州市</t>
  </si>
  <si>
    <t xml:space="preserve">清源山景区</t>
  </si>
  <si>
    <t xml:space="preserve">宁德市</t>
  </si>
  <si>
    <t xml:space="preserve">福鼎太姥山旅游区</t>
  </si>
  <si>
    <r>
      <rPr>
        <b val="true"/>
        <sz val="10"/>
        <rFont val="Noto Sans CJK SC"/>
        <family val="2"/>
      </rPr>
      <t xml:space="preserve">白水洋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鸳鸯溪景区</t>
    </r>
  </si>
  <si>
    <r>
      <rPr>
        <sz val="10"/>
        <rFont val="Arial"/>
        <family val="0"/>
        <charset val="1"/>
      </rPr>
      <t xml:space="preserve">6-10</t>
    </r>
    <r>
      <rPr>
        <sz val="10"/>
        <rFont val="Noto Sans CJK SC"/>
        <family val="2"/>
      </rPr>
      <t xml:space="preserve">月</t>
    </r>
  </si>
  <si>
    <t xml:space="preserve">三明市</t>
  </si>
  <si>
    <t xml:space="preserve">泰宁风景旅游区</t>
  </si>
  <si>
    <t xml:space="preserve">莆田市</t>
  </si>
  <si>
    <t xml:space="preserve">湄洲岛妈祖文化旅游区</t>
  </si>
  <si>
    <t xml:space="preserve">古田旅游区</t>
  </si>
  <si>
    <t xml:space="preserve">尤溪桂峰古村落旅游区</t>
  </si>
  <si>
    <t xml:space="preserve">福州市</t>
  </si>
  <si>
    <t xml:space="preserve">三坊七巷历史文化街区</t>
  </si>
  <si>
    <t xml:space="preserve">江西</t>
  </si>
  <si>
    <t xml:space="preserve">九江市</t>
  </si>
  <si>
    <t xml:space="preserve">庐山风景名胜区</t>
  </si>
  <si>
    <t xml:space="preserve">吉安市</t>
  </si>
  <si>
    <t xml:space="preserve">井冈山风景旅游区</t>
  </si>
  <si>
    <t xml:space="preserve">上饶市</t>
  </si>
  <si>
    <t xml:space="preserve">三清山风景区</t>
  </si>
  <si>
    <t xml:space="preserve">鹰潭市</t>
  </si>
  <si>
    <t xml:space="preserve">龙虎山景区</t>
  </si>
  <si>
    <t xml:space="preserve">道教文化</t>
  </si>
  <si>
    <t xml:space="preserve">龟峰景区</t>
  </si>
  <si>
    <t xml:space="preserve">景德镇市</t>
  </si>
  <si>
    <t xml:space="preserve">古窑民俗博览区</t>
  </si>
  <si>
    <t xml:space="preserve">婺源江湾景区</t>
  </si>
  <si>
    <t xml:space="preserve">庐山西海景区</t>
  </si>
  <si>
    <t xml:space="preserve">瑞金市</t>
  </si>
  <si>
    <t xml:space="preserve">瑞金共和国摇篮旅游区</t>
  </si>
  <si>
    <t xml:space="preserve">抚州市</t>
  </si>
  <si>
    <t xml:space="preserve">大觉山景区</t>
  </si>
  <si>
    <t xml:space="preserve">南昌市</t>
  </si>
  <si>
    <t xml:space="preserve">滕王阁旅游区</t>
  </si>
  <si>
    <t xml:space="preserve">萍乡市</t>
  </si>
  <si>
    <t xml:space="preserve">武功山风景区</t>
  </si>
  <si>
    <t xml:space="preserve">望仙峡景区</t>
  </si>
  <si>
    <t xml:space="preserve">篁岭景区</t>
  </si>
  <si>
    <r>
      <rPr>
        <sz val="10"/>
        <rFont val="Arial"/>
        <family val="0"/>
        <charset val="1"/>
      </rPr>
      <t xml:space="preserve">3-4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/10-11</t>
    </r>
    <r>
      <rPr>
        <sz val="10"/>
        <rFont val="Noto Sans CJK SC"/>
        <family val="2"/>
      </rPr>
      <t xml:space="preserve">月</t>
    </r>
  </si>
  <si>
    <t xml:space="preserve">山东</t>
  </si>
  <si>
    <t xml:space="preserve">泰安市</t>
  </si>
  <si>
    <t xml:space="preserve">泰山景区</t>
  </si>
  <si>
    <t xml:space="preserve">济宁市</t>
  </si>
  <si>
    <t xml:space="preserve">曲阜三孔景区</t>
  </si>
  <si>
    <t xml:space="preserve">烟台市</t>
  </si>
  <si>
    <r>
      <rPr>
        <b val="true"/>
        <sz val="10"/>
        <rFont val="Noto Sans CJK SC"/>
        <family val="2"/>
      </rPr>
      <t xml:space="preserve">蓬莱阁旅游区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三仙山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八仙过海</t>
    </r>
    <r>
      <rPr>
        <b val="true"/>
        <sz val="10"/>
        <rFont val="Arial"/>
        <family val="0"/>
        <charset val="1"/>
      </rPr>
      <t xml:space="preserve">)</t>
    </r>
  </si>
  <si>
    <t xml:space="preserve">威海市</t>
  </si>
  <si>
    <t xml:space="preserve">刘公岛景区</t>
  </si>
  <si>
    <t xml:space="preserve">青岛市</t>
  </si>
  <si>
    <t xml:space="preserve">崂山景区</t>
  </si>
  <si>
    <t xml:space="preserve">龙口南山景区</t>
  </si>
  <si>
    <t xml:space="preserve">潍坊市</t>
  </si>
  <si>
    <t xml:space="preserve">青州古城景区</t>
  </si>
  <si>
    <t xml:space="preserve">济南市</t>
  </si>
  <si>
    <t xml:space="preserve">天下第一泉景区</t>
  </si>
  <si>
    <t xml:space="preserve">自然泉水</t>
  </si>
  <si>
    <r>
      <rPr>
        <sz val="10"/>
        <rFont val="Arial"/>
        <family val="0"/>
        <charset val="1"/>
      </rPr>
      <t xml:space="preserve">4-11</t>
    </r>
    <r>
      <rPr>
        <sz val="10"/>
        <rFont val="Noto Sans CJK SC"/>
        <family val="2"/>
      </rPr>
      <t xml:space="preserve">月</t>
    </r>
  </si>
  <si>
    <t xml:space="preserve">枣庄市</t>
  </si>
  <si>
    <t xml:space="preserve">台儿庄古城</t>
  </si>
  <si>
    <t xml:space="preserve">临沂市</t>
  </si>
  <si>
    <t xml:space="preserve">蒙山旅游区</t>
  </si>
  <si>
    <r>
      <rPr>
        <b val="true"/>
        <sz val="10"/>
        <rFont val="Noto Sans CJK SC"/>
        <family val="2"/>
      </rPr>
      <t xml:space="preserve">萤火虫水洞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地下大峡谷旅游区</t>
    </r>
  </si>
  <si>
    <t xml:space="preserve">微山湖旅游区</t>
  </si>
  <si>
    <t xml:space="preserve">淄博市</t>
  </si>
  <si>
    <t xml:space="preserve">潭溪山旅游区</t>
  </si>
  <si>
    <t xml:space="preserve">青岛海滨风景区</t>
  </si>
  <si>
    <t xml:space="preserve">海滨城市</t>
  </si>
  <si>
    <t xml:space="preserve">华夏城旅游景区</t>
  </si>
  <si>
    <t xml:space="preserve">文化主题</t>
  </si>
  <si>
    <t xml:space="preserve">日照市</t>
  </si>
  <si>
    <t xml:space="preserve">五莲山旅游景区</t>
  </si>
  <si>
    <t xml:space="preserve">河南</t>
  </si>
  <si>
    <t xml:space="preserve">登封市</t>
  </si>
  <si>
    <t xml:space="preserve">嵩山少林景区</t>
  </si>
  <si>
    <t xml:space="preserve">洛阳市</t>
  </si>
  <si>
    <t xml:space="preserve">龙门石窟景区</t>
  </si>
  <si>
    <t xml:space="preserve">焦作市</t>
  </si>
  <si>
    <t xml:space="preserve">云台山风景名胜区</t>
  </si>
  <si>
    <t xml:space="preserve">开封市</t>
  </si>
  <si>
    <t xml:space="preserve">清明上河园</t>
  </si>
  <si>
    <t xml:space="preserve">白云山景区</t>
  </si>
  <si>
    <t xml:space="preserve">安阳市</t>
  </si>
  <si>
    <t xml:space="preserve">殷墟景区</t>
  </si>
  <si>
    <t xml:space="preserve">龙潭大峡谷景区</t>
  </si>
  <si>
    <t xml:space="preserve">驻马店市</t>
  </si>
  <si>
    <t xml:space="preserve">嵖岈山景区</t>
  </si>
  <si>
    <t xml:space="preserve">南阳市</t>
  </si>
  <si>
    <t xml:space="preserve">西峡伏牛山老界岭景区</t>
  </si>
  <si>
    <r>
      <rPr>
        <b val="true"/>
        <sz val="10"/>
        <rFont val="Noto Sans CJK SC"/>
        <family val="2"/>
      </rPr>
      <t xml:space="preserve">红旗渠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太行大峡谷旅游区</t>
    </r>
  </si>
  <si>
    <r>
      <rPr>
        <sz val="10"/>
        <rFont val="Noto Sans CJK SC"/>
        <family val="2"/>
      </rPr>
      <t xml:space="preserve">红色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自然</t>
    </r>
  </si>
  <si>
    <r>
      <rPr>
        <b val="true"/>
        <sz val="10"/>
        <rFont val="Noto Sans CJK SC"/>
        <family val="2"/>
      </rPr>
      <t xml:space="preserve">栾川老君山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鸡冠洞旅游区</t>
    </r>
  </si>
  <si>
    <t xml:space="preserve">平顶山市</t>
  </si>
  <si>
    <r>
      <rPr>
        <b val="true"/>
        <sz val="10"/>
        <rFont val="Noto Sans CJK SC"/>
        <family val="2"/>
      </rPr>
      <t xml:space="preserve">尧山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中原大佛景区</t>
    </r>
  </si>
  <si>
    <r>
      <rPr>
        <sz val="10"/>
        <rFont val="Noto Sans CJK SC"/>
        <family val="2"/>
      </rPr>
      <t xml:space="preserve">自然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宗教</t>
    </r>
  </si>
  <si>
    <t xml:space="preserve">永城市</t>
  </si>
  <si>
    <t xml:space="preserve">芒砀山旅游区</t>
  </si>
  <si>
    <t xml:space="preserve">信阳市</t>
  </si>
  <si>
    <t xml:space="preserve">鸡公山风景区</t>
  </si>
  <si>
    <t xml:space="preserve">新乡市</t>
  </si>
  <si>
    <t xml:space="preserve">八里沟景区</t>
  </si>
  <si>
    <t xml:space="preserve">洛阳白马寺景区</t>
  </si>
  <si>
    <t xml:space="preserve">宝泉旅游区</t>
  </si>
  <si>
    <t xml:space="preserve">湖北</t>
  </si>
  <si>
    <t xml:space="preserve">武汉市</t>
  </si>
  <si>
    <t xml:space="preserve">黄鹤楼公园</t>
  </si>
  <si>
    <t xml:space="preserve">宜昌市</t>
  </si>
  <si>
    <t xml:space="preserve">三峡大坝旅游区</t>
  </si>
  <si>
    <t xml:space="preserve">现代工程</t>
  </si>
  <si>
    <t xml:space="preserve">三峡人家风景区</t>
  </si>
  <si>
    <t xml:space="preserve">十堰市</t>
  </si>
  <si>
    <t xml:space="preserve">武当山风景区</t>
  </si>
  <si>
    <t xml:space="preserve">神农架林区</t>
  </si>
  <si>
    <t xml:space="preserve">神农架旅游区</t>
  </si>
  <si>
    <t xml:space="preserve">恩施州</t>
  </si>
  <si>
    <t xml:space="preserve">恩施大峡谷</t>
  </si>
  <si>
    <t xml:space="preserve">清江画廊景区</t>
  </si>
  <si>
    <t xml:space="preserve">屈原故里文化旅游区</t>
  </si>
  <si>
    <t xml:space="preserve">东湖风景区</t>
  </si>
  <si>
    <t xml:space="preserve">咸宁市</t>
  </si>
  <si>
    <t xml:space="preserve">三国赤壁古战场景区</t>
  </si>
  <si>
    <t xml:space="preserve">黄陂木兰文化生态旅游区</t>
  </si>
  <si>
    <t xml:space="preserve">恩施土司城景区</t>
  </si>
  <si>
    <t xml:space="preserve">民族文化</t>
  </si>
  <si>
    <t xml:space="preserve">利川腾龙洞景区</t>
  </si>
  <si>
    <t xml:space="preserve">襄阳市</t>
  </si>
  <si>
    <t xml:space="preserve">古隆中景区</t>
  </si>
  <si>
    <t xml:space="preserve">黄冈市</t>
  </si>
  <si>
    <t xml:space="preserve">龟峰山景区</t>
  </si>
  <si>
    <r>
      <rPr>
        <sz val="10"/>
        <rFont val="Arial"/>
        <family val="0"/>
        <charset val="1"/>
      </rPr>
      <t xml:space="preserve">4-5</t>
    </r>
    <r>
      <rPr>
        <sz val="10"/>
        <rFont val="Noto Sans CJK SC"/>
        <family val="2"/>
      </rPr>
      <t xml:space="preserve">月</t>
    </r>
  </si>
  <si>
    <t xml:space="preserve">湖南</t>
  </si>
  <si>
    <t xml:space="preserve">张家界市</t>
  </si>
  <si>
    <r>
      <rPr>
        <b val="true"/>
        <sz val="10"/>
        <rFont val="Noto Sans CJK SC"/>
        <family val="2"/>
      </rPr>
      <t xml:space="preserve">张家界武陵源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天门山旅游区</t>
    </r>
  </si>
  <si>
    <t xml:space="preserve">衡阳市</t>
  </si>
  <si>
    <t xml:space="preserve">南岳衡山旅游区</t>
  </si>
  <si>
    <t xml:space="preserve">韶山市</t>
  </si>
  <si>
    <t xml:space="preserve">韶山旅游区</t>
  </si>
  <si>
    <t xml:space="preserve">长沙市</t>
  </si>
  <si>
    <r>
      <rPr>
        <b val="true"/>
        <sz val="10"/>
        <rFont val="Noto Sans CJK SC"/>
        <family val="2"/>
      </rPr>
      <t xml:space="preserve">岳麓山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橘子洲旅游区</t>
    </r>
  </si>
  <si>
    <t xml:space="preserve">岳阳市</t>
  </si>
  <si>
    <r>
      <rPr>
        <b val="true"/>
        <sz val="10"/>
        <rFont val="Noto Sans CJK SC"/>
        <family val="2"/>
      </rPr>
      <t xml:space="preserve">岳阳楼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君山岛景区</t>
    </r>
  </si>
  <si>
    <t xml:space="preserve">邵阳市</t>
  </si>
  <si>
    <t xml:space="preserve">崀山景区</t>
  </si>
  <si>
    <t xml:space="preserve">郴州市</t>
  </si>
  <si>
    <t xml:space="preserve">东江湖旅游区</t>
  </si>
  <si>
    <t xml:space="preserve">常德市</t>
  </si>
  <si>
    <t xml:space="preserve">桃花源旅游区</t>
  </si>
  <si>
    <t xml:space="preserve">湘西州</t>
  </si>
  <si>
    <r>
      <rPr>
        <b val="true"/>
        <sz val="10"/>
        <rFont val="Noto Sans CJK SC"/>
        <family val="2"/>
      </rPr>
      <t xml:space="preserve">矮寨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十八洞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德夯大峡谷景区</t>
    </r>
  </si>
  <si>
    <t xml:space="preserve">湘潭市</t>
  </si>
  <si>
    <t xml:space="preserve">花明楼景区</t>
  </si>
  <si>
    <t xml:space="preserve">株洲市</t>
  </si>
  <si>
    <t xml:space="preserve">炎帝陵景区</t>
  </si>
  <si>
    <t xml:space="preserve">永州市</t>
  </si>
  <si>
    <r>
      <rPr>
        <b val="true"/>
        <sz val="10"/>
        <rFont val="Noto Sans CJK SC"/>
        <family val="2"/>
      </rPr>
      <t xml:space="preserve">九嶷山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舜帝陵景区</t>
    </r>
  </si>
  <si>
    <t xml:space="preserve">广东</t>
  </si>
  <si>
    <t xml:space="preserve">广州市</t>
  </si>
  <si>
    <t xml:space="preserve">长隆旅游度假区</t>
  </si>
  <si>
    <r>
      <rPr>
        <sz val="10"/>
        <rFont val="Arial"/>
        <family val="0"/>
        <charset val="1"/>
      </rPr>
      <t xml:space="preserve">10-5</t>
    </r>
    <r>
      <rPr>
        <sz val="10"/>
        <rFont val="Noto Sans CJK SC"/>
        <family val="2"/>
      </rPr>
      <t xml:space="preserve">月</t>
    </r>
  </si>
  <si>
    <t xml:space="preserve">深圳市</t>
  </si>
  <si>
    <t xml:space="preserve">观澜湖休闲旅游区</t>
  </si>
  <si>
    <t xml:space="preserve">华侨城旅游度假区</t>
  </si>
  <si>
    <t xml:space="preserve">韶关市</t>
  </si>
  <si>
    <t xml:space="preserve">丹霞山</t>
  </si>
  <si>
    <t xml:space="preserve">惠州市</t>
  </si>
  <si>
    <t xml:space="preserve">梅州市</t>
  </si>
  <si>
    <t xml:space="preserve">雁南飞茶田景区</t>
  </si>
  <si>
    <t xml:space="preserve">生态农业</t>
  </si>
  <si>
    <t xml:space="preserve">佛山市</t>
  </si>
  <si>
    <t xml:space="preserve">西樵山景区</t>
  </si>
  <si>
    <t xml:space="preserve">清远市</t>
  </si>
  <si>
    <t xml:space="preserve">连州地下河景区</t>
  </si>
  <si>
    <t xml:space="preserve">长鹿旅游休博园</t>
  </si>
  <si>
    <t xml:space="preserve">中山市</t>
  </si>
  <si>
    <t xml:space="preserve">孙中山故里旅游区</t>
  </si>
  <si>
    <t xml:space="preserve">肇庆市</t>
  </si>
  <si>
    <t xml:space="preserve">星湖旅游景区</t>
  </si>
  <si>
    <t xml:space="preserve">阳江市</t>
  </si>
  <si>
    <t xml:space="preserve">海陵岛大角湾海上丝路旅游区</t>
  </si>
  <si>
    <t xml:space="preserve">汕头市</t>
  </si>
  <si>
    <t xml:space="preserve">南澳岛旅游区</t>
  </si>
  <si>
    <t xml:space="preserve">海岛风光</t>
  </si>
  <si>
    <t xml:space="preserve">潮州市</t>
  </si>
  <si>
    <t xml:space="preserve">潮州古城旅游区</t>
  </si>
  <si>
    <t xml:space="preserve">揭阳市</t>
  </si>
  <si>
    <t xml:space="preserve">揭阳楼景区</t>
  </si>
  <si>
    <t xml:space="preserve">珠海市</t>
  </si>
  <si>
    <t xml:space="preserve">珠海长隆海洋王国</t>
  </si>
  <si>
    <t xml:space="preserve">广西</t>
  </si>
  <si>
    <t xml:space="preserve">桂林市</t>
  </si>
  <si>
    <t xml:space="preserve">漓江风景区</t>
  </si>
  <si>
    <r>
      <rPr>
        <b val="true"/>
        <sz val="10"/>
        <rFont val="Noto Sans CJK SC"/>
        <family val="2"/>
      </rPr>
      <t xml:space="preserve">独秀峰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王城景区</t>
    </r>
  </si>
  <si>
    <r>
      <rPr>
        <b val="true"/>
        <sz val="10"/>
        <rFont val="Noto Sans CJK SC"/>
        <family val="2"/>
      </rPr>
      <t xml:space="preserve">两江四湖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象山景区</t>
    </r>
  </si>
  <si>
    <t xml:space="preserve">城市山水</t>
  </si>
  <si>
    <t xml:space="preserve">南宁市</t>
  </si>
  <si>
    <t xml:space="preserve">青秀山景区</t>
  </si>
  <si>
    <t xml:space="preserve">春冬</t>
  </si>
  <si>
    <r>
      <rPr>
        <sz val="10"/>
        <rFont val="Arial"/>
        <family val="0"/>
        <charset val="1"/>
      </rPr>
      <t xml:space="preserve">1-3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/10-12</t>
    </r>
    <r>
      <rPr>
        <sz val="10"/>
        <rFont val="Noto Sans CJK SC"/>
        <family val="2"/>
      </rPr>
      <t xml:space="preserve">月</t>
    </r>
  </si>
  <si>
    <t xml:space="preserve">崇左市</t>
  </si>
  <si>
    <t xml:space="preserve">德天跨国瀑布景区</t>
  </si>
  <si>
    <t xml:space="preserve">自然瀑布</t>
  </si>
  <si>
    <t xml:space="preserve">百色市</t>
  </si>
  <si>
    <t xml:space="preserve">百色起义纪念园</t>
  </si>
  <si>
    <t xml:space="preserve">龙脊梯田景区</t>
  </si>
  <si>
    <t xml:space="preserve">北海市</t>
  </si>
  <si>
    <t xml:space="preserve">涠洲岛景区</t>
  </si>
  <si>
    <t xml:space="preserve">来宾市</t>
  </si>
  <si>
    <t xml:space="preserve">金秀大瑶山景区</t>
  </si>
  <si>
    <t xml:space="preserve">民族生态</t>
  </si>
  <si>
    <t xml:space="preserve">海南</t>
  </si>
  <si>
    <t xml:space="preserve">三亚市</t>
  </si>
  <si>
    <t xml:space="preserve">蜈支洲岛旅游区</t>
  </si>
  <si>
    <t xml:space="preserve">海岛度假</t>
  </si>
  <si>
    <t xml:space="preserve">冬春秋</t>
  </si>
  <si>
    <t xml:space="preserve">南山文化旅游区</t>
  </si>
  <si>
    <t xml:space="preserve">大小洞天旅游区</t>
  </si>
  <si>
    <t xml:space="preserve">保亭县</t>
  </si>
  <si>
    <t xml:space="preserve">呀诺达热带雨林文化旅游区</t>
  </si>
  <si>
    <t xml:space="preserve">自然雨林</t>
  </si>
  <si>
    <t xml:space="preserve">槟榔谷黎苗文化旅游区</t>
  </si>
  <si>
    <t xml:space="preserve">陵水县</t>
  </si>
  <si>
    <t xml:space="preserve">分界洲岛旅游区</t>
  </si>
  <si>
    <t xml:space="preserve">海口市</t>
  </si>
  <si>
    <t xml:space="preserve">雷琼海口火山群世界地质公园</t>
  </si>
  <si>
    <t xml:space="preserve">重庆</t>
  </si>
  <si>
    <t xml:space="preserve">渝中区</t>
  </si>
  <si>
    <t xml:space="preserve">重庆大足石刻旅游景区</t>
  </si>
  <si>
    <t xml:space="preserve">武隆区</t>
  </si>
  <si>
    <t xml:space="preserve">武隆喀斯特旅游区</t>
  </si>
  <si>
    <r>
      <rPr>
        <sz val="10"/>
        <rFont val="Noto Sans CJK SC"/>
        <family val="2"/>
      </rPr>
      <t xml:space="preserve">渝中区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江北区</t>
    </r>
  </si>
  <si>
    <t xml:space="preserve">重庆两江游览景区</t>
  </si>
  <si>
    <t xml:space="preserve">城市夜景</t>
  </si>
  <si>
    <t xml:space="preserve">巫山县</t>
  </si>
  <si>
    <r>
      <rPr>
        <b val="true"/>
        <sz val="10"/>
        <rFont val="Noto Sans CJK SC"/>
        <family val="2"/>
      </rPr>
      <t xml:space="preserve">巫山小三峡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小小三峡</t>
    </r>
  </si>
  <si>
    <t xml:space="preserve">酉阳县</t>
  </si>
  <si>
    <t xml:space="preserve">酉阳桃花源景区</t>
  </si>
  <si>
    <t xml:space="preserve">黔江区</t>
  </si>
  <si>
    <t xml:space="preserve">濯水景区</t>
  </si>
  <si>
    <t xml:space="preserve">古镇峡谷</t>
  </si>
  <si>
    <t xml:space="preserve">万盛区</t>
  </si>
  <si>
    <t xml:space="preserve">黑山谷景区</t>
  </si>
  <si>
    <t xml:space="preserve">沙坪坝区</t>
  </si>
  <si>
    <t xml:space="preserve">磁器口古镇</t>
  </si>
  <si>
    <t xml:space="preserve">江津区</t>
  </si>
  <si>
    <t xml:space="preserve">四面山景区</t>
  </si>
  <si>
    <t xml:space="preserve">云阳县</t>
  </si>
  <si>
    <t xml:space="preserve">龙缸景区</t>
  </si>
  <si>
    <t xml:space="preserve">奉节县</t>
  </si>
  <si>
    <r>
      <rPr>
        <b val="true"/>
        <sz val="10"/>
        <rFont val="Noto Sans CJK SC"/>
        <family val="2"/>
      </rPr>
      <t xml:space="preserve">白帝城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瞿塘峡景区</t>
    </r>
  </si>
  <si>
    <t xml:space="preserve">历史自然</t>
  </si>
  <si>
    <t xml:space="preserve">南川区</t>
  </si>
  <si>
    <t xml:space="preserve">金佛山景区</t>
  </si>
  <si>
    <t xml:space="preserve">四川</t>
  </si>
  <si>
    <t xml:space="preserve">阿坝州</t>
  </si>
  <si>
    <t xml:space="preserve">九寨沟风景名胜区</t>
  </si>
  <si>
    <t xml:space="preserve">乐山市</t>
  </si>
  <si>
    <t xml:space="preserve">峨眉山景区</t>
  </si>
  <si>
    <t xml:space="preserve">乐山大佛景区</t>
  </si>
  <si>
    <t xml:space="preserve">黄龙风景名胜区</t>
  </si>
  <si>
    <r>
      <rPr>
        <sz val="10"/>
        <rFont val="Arial"/>
        <family val="0"/>
        <charset val="1"/>
      </rPr>
      <t xml:space="preserve">7-10</t>
    </r>
    <r>
      <rPr>
        <sz val="10"/>
        <rFont val="Noto Sans CJK SC"/>
        <family val="2"/>
      </rPr>
      <t xml:space="preserve">月</t>
    </r>
  </si>
  <si>
    <t xml:space="preserve">成都市</t>
  </si>
  <si>
    <r>
      <rPr>
        <b val="true"/>
        <sz val="10"/>
        <rFont val="Noto Sans CJK SC"/>
        <family val="2"/>
      </rPr>
      <t xml:space="preserve">青城山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都江堰景区</t>
    </r>
  </si>
  <si>
    <r>
      <rPr>
        <sz val="10"/>
        <rFont val="Noto Sans CJK SC"/>
        <family val="2"/>
      </rPr>
      <t xml:space="preserve">历史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自然</t>
    </r>
  </si>
  <si>
    <t xml:space="preserve">广安市</t>
  </si>
  <si>
    <t xml:space="preserve">邓小平故里旅游区</t>
  </si>
  <si>
    <t xml:space="preserve">广元市</t>
  </si>
  <si>
    <t xml:space="preserve">剑门蜀道剑门关旅游区</t>
  </si>
  <si>
    <t xml:space="preserve">南充市</t>
  </si>
  <si>
    <t xml:space="preserve">阆中古城景区</t>
  </si>
  <si>
    <t xml:space="preserve">甘孜州</t>
  </si>
  <si>
    <t xml:space="preserve">海螺沟景区</t>
  </si>
  <si>
    <t xml:space="preserve">自然冰川</t>
  </si>
  <si>
    <t xml:space="preserve">秋冬</t>
  </si>
  <si>
    <r>
      <rPr>
        <sz val="10"/>
        <rFont val="Arial"/>
        <family val="0"/>
        <charset val="1"/>
      </rPr>
      <t xml:space="preserve">10-3</t>
    </r>
    <r>
      <rPr>
        <sz val="10"/>
        <rFont val="Noto Sans CJK SC"/>
        <family val="2"/>
      </rPr>
      <t xml:space="preserve">月</t>
    </r>
  </si>
  <si>
    <t xml:space="preserve">绵阳市</t>
  </si>
  <si>
    <t xml:space="preserve">北川羌城旅游区</t>
  </si>
  <si>
    <t xml:space="preserve">汶川特别旅游区</t>
  </si>
  <si>
    <t xml:space="preserve">稻城亚丁风景区</t>
  </si>
  <si>
    <t xml:space="preserve">自然高原</t>
  </si>
  <si>
    <t xml:space="preserve">凉山州</t>
  </si>
  <si>
    <r>
      <rPr>
        <b val="true"/>
        <sz val="10"/>
        <rFont val="Noto Sans CJK SC"/>
        <family val="2"/>
      </rPr>
      <t xml:space="preserve">邛海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螺髻山景区</t>
    </r>
  </si>
  <si>
    <t xml:space="preserve">甲居藏寨旅游景区</t>
  </si>
  <si>
    <t xml:space="preserve">民族风情</t>
  </si>
  <si>
    <t xml:space="preserve">自贡市</t>
  </si>
  <si>
    <t xml:space="preserve">自贡恐龙博物馆</t>
  </si>
  <si>
    <t xml:space="preserve">科普教育</t>
  </si>
  <si>
    <t xml:space="preserve">成都大熊猫繁育研究基地</t>
  </si>
  <si>
    <t xml:space="preserve">巴中市</t>
  </si>
  <si>
    <r>
      <rPr>
        <b val="true"/>
        <sz val="10"/>
        <rFont val="Noto Sans CJK SC"/>
        <family val="2"/>
      </rPr>
      <t xml:space="preserve">光雾山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诺水河景区</t>
    </r>
  </si>
  <si>
    <r>
      <rPr>
        <sz val="10"/>
        <rFont val="Arial"/>
        <family val="0"/>
        <charset val="1"/>
      </rPr>
      <t xml:space="preserve">10-11</t>
    </r>
    <r>
      <rPr>
        <sz val="10"/>
        <rFont val="Noto Sans CJK SC"/>
        <family val="2"/>
      </rPr>
      <t xml:space="preserve">月</t>
    </r>
  </si>
  <si>
    <t xml:space="preserve">雅安市</t>
  </si>
  <si>
    <t xml:space="preserve">碧峰峡旅游区</t>
  </si>
  <si>
    <t xml:space="preserve">贵州</t>
  </si>
  <si>
    <t xml:space="preserve">安顺市</t>
  </si>
  <si>
    <t xml:space="preserve">黄果树大瀑布景区</t>
  </si>
  <si>
    <t xml:space="preserve">龙宫景区</t>
  </si>
  <si>
    <t xml:space="preserve">黔南州</t>
  </si>
  <si>
    <t xml:space="preserve">荔波樟江风景名胜区</t>
  </si>
  <si>
    <t xml:space="preserve">铜仁市</t>
  </si>
  <si>
    <t xml:space="preserve">梵净山旅游区</t>
  </si>
  <si>
    <t xml:space="preserve">毕节市</t>
  </si>
  <si>
    <t xml:space="preserve">百里杜鹃景区</t>
  </si>
  <si>
    <t xml:space="preserve">自然花卉</t>
  </si>
  <si>
    <t xml:space="preserve">遵义市</t>
  </si>
  <si>
    <t xml:space="preserve">遵义会议会址景区</t>
  </si>
  <si>
    <t xml:space="preserve">黔东南州</t>
  </si>
  <si>
    <t xml:space="preserve">镇远古城景区</t>
  </si>
  <si>
    <t xml:space="preserve">贵阳市</t>
  </si>
  <si>
    <t xml:space="preserve">青岩古镇</t>
  </si>
  <si>
    <t xml:space="preserve">黔西南州</t>
  </si>
  <si>
    <t xml:space="preserve">万峰林景区</t>
  </si>
  <si>
    <r>
      <rPr>
        <sz val="10"/>
        <rFont val="Arial"/>
        <family val="0"/>
        <charset val="1"/>
      </rPr>
      <t xml:space="preserve">3-4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/8-10</t>
    </r>
    <r>
      <rPr>
        <sz val="10"/>
        <rFont val="Noto Sans CJK SC"/>
        <family val="2"/>
      </rPr>
      <t xml:space="preserve">月</t>
    </r>
  </si>
  <si>
    <t xml:space="preserve">云南</t>
  </si>
  <si>
    <t xml:space="preserve">丽江市</t>
  </si>
  <si>
    <t xml:space="preserve">丽江古城</t>
  </si>
  <si>
    <r>
      <rPr>
        <sz val="10"/>
        <rFont val="Arial"/>
        <family val="0"/>
        <charset val="1"/>
      </rPr>
      <t xml:space="preserve">3-5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/9-12</t>
    </r>
    <r>
      <rPr>
        <sz val="10"/>
        <rFont val="Noto Sans CJK SC"/>
        <family val="2"/>
      </rPr>
      <t xml:space="preserve">月</t>
    </r>
  </si>
  <si>
    <t xml:space="preserve">大理州</t>
  </si>
  <si>
    <t xml:space="preserve">崇圣寺三塔文化旅游区</t>
  </si>
  <si>
    <t xml:space="preserve">迪庆州</t>
  </si>
  <si>
    <t xml:space="preserve">普达措国家公园</t>
  </si>
  <si>
    <t xml:space="preserve">昆明市</t>
  </si>
  <si>
    <t xml:space="preserve">石林风景名胜区</t>
  </si>
  <si>
    <t xml:space="preserve">玉龙雪山景区</t>
  </si>
  <si>
    <r>
      <rPr>
        <sz val="10"/>
        <rFont val="Arial"/>
        <family val="0"/>
        <charset val="1"/>
      </rPr>
      <t xml:space="preserve">11-3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/4-5</t>
    </r>
    <r>
      <rPr>
        <sz val="10"/>
        <rFont val="Noto Sans CJK SC"/>
        <family val="2"/>
      </rPr>
      <t xml:space="preserve">月</t>
    </r>
  </si>
  <si>
    <t xml:space="preserve">西双版纳</t>
  </si>
  <si>
    <t xml:space="preserve">中科院西双版纳植物园</t>
  </si>
  <si>
    <t xml:space="preserve">冬春</t>
  </si>
  <si>
    <r>
      <rPr>
        <sz val="10"/>
        <rFont val="Arial"/>
        <family val="0"/>
        <charset val="1"/>
      </rPr>
      <t xml:space="preserve">11-3</t>
    </r>
    <r>
      <rPr>
        <sz val="10"/>
        <rFont val="Noto Sans CJK SC"/>
        <family val="2"/>
      </rPr>
      <t xml:space="preserve">月</t>
    </r>
  </si>
  <si>
    <t xml:space="preserve">保山市</t>
  </si>
  <si>
    <t xml:space="preserve">腾冲火山热海旅游区</t>
  </si>
  <si>
    <t xml:space="preserve">秋冬春</t>
  </si>
  <si>
    <r>
      <rPr>
        <sz val="10"/>
        <rFont val="Arial"/>
        <family val="0"/>
        <charset val="1"/>
      </rPr>
      <t xml:space="preserve">10-4</t>
    </r>
    <r>
      <rPr>
        <sz val="10"/>
        <rFont val="Noto Sans CJK SC"/>
        <family val="2"/>
      </rPr>
      <t xml:space="preserve">月</t>
    </r>
  </si>
  <si>
    <t xml:space="preserve">昆明世博园景区</t>
  </si>
  <si>
    <t xml:space="preserve">园艺展览</t>
  </si>
  <si>
    <r>
      <rPr>
        <sz val="10"/>
        <rFont val="Arial"/>
        <family val="0"/>
        <charset val="1"/>
      </rPr>
      <t xml:space="preserve">2-4</t>
    </r>
    <r>
      <rPr>
        <sz val="10"/>
        <rFont val="Noto Sans CJK SC"/>
        <family val="2"/>
      </rPr>
      <t xml:space="preserve">月</t>
    </r>
  </si>
  <si>
    <t xml:space="preserve">红河州</t>
  </si>
  <si>
    <t xml:space="preserve">建水风景名胜区</t>
  </si>
  <si>
    <t xml:space="preserve">曲靖市</t>
  </si>
  <si>
    <t xml:space="preserve">罗平九龙瀑布群风景区</t>
  </si>
  <si>
    <r>
      <rPr>
        <sz val="10"/>
        <rFont val="Arial"/>
        <family val="0"/>
        <charset val="1"/>
      </rPr>
      <t xml:space="preserve">2-3</t>
    </r>
    <r>
      <rPr>
        <sz val="10"/>
        <rFont val="Noto Sans CJK SC"/>
        <family val="2"/>
      </rPr>
      <t xml:space="preserve">月</t>
    </r>
  </si>
  <si>
    <t xml:space="preserve">西藏</t>
  </si>
  <si>
    <t xml:space="preserve">拉萨市</t>
  </si>
  <si>
    <t xml:space="preserve">布达拉宫</t>
  </si>
  <si>
    <t xml:space="preserve">大昭寺</t>
  </si>
  <si>
    <t xml:space="preserve">林芝市</t>
  </si>
  <si>
    <t xml:space="preserve">巴松措</t>
  </si>
  <si>
    <t xml:space="preserve">日喀则市</t>
  </si>
  <si>
    <t xml:space="preserve">扎什伦布寺</t>
  </si>
  <si>
    <t xml:space="preserve">雅鲁藏布大峡谷旅游区</t>
  </si>
  <si>
    <t xml:space="preserve">陕西</t>
  </si>
  <si>
    <t xml:space="preserve">西安市</t>
  </si>
  <si>
    <t xml:space="preserve">秦始皇兵马俑博物馆</t>
  </si>
  <si>
    <t xml:space="preserve">华清宫景区</t>
  </si>
  <si>
    <t xml:space="preserve">渭南市</t>
  </si>
  <si>
    <t xml:space="preserve">华山景区</t>
  </si>
  <si>
    <t xml:space="preserve">延安市</t>
  </si>
  <si>
    <t xml:space="preserve">延安革命纪念地</t>
  </si>
  <si>
    <r>
      <rPr>
        <b val="true"/>
        <sz val="10"/>
        <rFont val="Noto Sans CJK SC"/>
        <family val="2"/>
      </rPr>
      <t xml:space="preserve">大雁塔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大唐芙蓉园景区</t>
    </r>
  </si>
  <si>
    <r>
      <rPr>
        <b val="true"/>
        <sz val="10"/>
        <rFont val="Noto Sans CJK SC"/>
        <family val="2"/>
      </rPr>
      <t xml:space="preserve">城墙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碑林历史文化景区</t>
    </r>
  </si>
  <si>
    <t xml:space="preserve">宝鸡市</t>
  </si>
  <si>
    <t xml:space="preserve">太白山旅游景区</t>
  </si>
  <si>
    <t xml:space="preserve">法门寺佛文化景区</t>
  </si>
  <si>
    <t xml:space="preserve">商洛市</t>
  </si>
  <si>
    <t xml:space="preserve">金丝峡景区</t>
  </si>
  <si>
    <t xml:space="preserve">汉中市</t>
  </si>
  <si>
    <t xml:space="preserve">汉中三国文化景区</t>
  </si>
  <si>
    <t xml:space="preserve">黄陵县</t>
  </si>
  <si>
    <t xml:space="preserve">黄帝陵景区</t>
  </si>
  <si>
    <t xml:space="preserve">铜川市</t>
  </si>
  <si>
    <r>
      <rPr>
        <b val="true"/>
        <sz val="10"/>
        <rFont val="Noto Sans CJK SC"/>
        <family val="2"/>
      </rPr>
      <t xml:space="preserve">照金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香山景区</t>
    </r>
  </si>
  <si>
    <r>
      <rPr>
        <sz val="10"/>
        <rFont val="Noto Sans CJK SC"/>
        <family val="2"/>
      </rPr>
      <t xml:space="preserve">红色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宗教</t>
    </r>
  </si>
  <si>
    <t xml:space="preserve">甘肃</t>
  </si>
  <si>
    <t xml:space="preserve">敦煌市</t>
  </si>
  <si>
    <r>
      <rPr>
        <b val="true"/>
        <sz val="10"/>
        <rFont val="Noto Sans CJK SC"/>
        <family val="2"/>
      </rPr>
      <t xml:space="preserve">鸣沙山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月牙泉景区</t>
    </r>
  </si>
  <si>
    <t xml:space="preserve">自然沙漠</t>
  </si>
  <si>
    <t xml:space="preserve">莫高窟</t>
  </si>
  <si>
    <t xml:space="preserve">嘉峪关市</t>
  </si>
  <si>
    <t xml:space="preserve">嘉峪关景区</t>
  </si>
  <si>
    <t xml:space="preserve">天水市</t>
  </si>
  <si>
    <t xml:space="preserve">麦积山景区</t>
  </si>
  <si>
    <t xml:space="preserve">平凉市</t>
  </si>
  <si>
    <t xml:space="preserve">崆峒山风景名胜区</t>
  </si>
  <si>
    <t xml:space="preserve">张掖市</t>
  </si>
  <si>
    <t xml:space="preserve">张掖丹霞国家地质公园</t>
  </si>
  <si>
    <t xml:space="preserve">陇南市</t>
  </si>
  <si>
    <t xml:space="preserve">官鹅沟景区</t>
  </si>
  <si>
    <t xml:space="preserve">青海</t>
  </si>
  <si>
    <t xml:space="preserve">西宁市</t>
  </si>
  <si>
    <t xml:space="preserve">塔尔寺景区</t>
  </si>
  <si>
    <t xml:space="preserve">海北州</t>
  </si>
  <si>
    <t xml:space="preserve">青海湖景区</t>
  </si>
  <si>
    <r>
      <rPr>
        <sz val="10"/>
        <rFont val="Arial"/>
        <family val="0"/>
        <charset val="1"/>
      </rPr>
      <t xml:space="preserve">7-8</t>
    </r>
    <r>
      <rPr>
        <sz val="10"/>
        <rFont val="Noto Sans CJK SC"/>
        <family val="2"/>
      </rPr>
      <t xml:space="preserve">月</t>
    </r>
  </si>
  <si>
    <t xml:space="preserve">海东市</t>
  </si>
  <si>
    <t xml:space="preserve">互助土族故土园景区</t>
  </si>
  <si>
    <t xml:space="preserve">海西州</t>
  </si>
  <si>
    <t xml:space="preserve">茶卡盐湖景区</t>
  </si>
  <si>
    <t xml:space="preserve">自然盐湖</t>
  </si>
  <si>
    <t xml:space="preserve">宁夏</t>
  </si>
  <si>
    <t xml:space="preserve">银川市</t>
  </si>
  <si>
    <t xml:space="preserve">水洞沟旅游区</t>
  </si>
  <si>
    <t xml:space="preserve">镇北堡西部影城</t>
  </si>
  <si>
    <t xml:space="preserve">中卫市</t>
  </si>
  <si>
    <t xml:space="preserve">沙坡头旅游景区</t>
  </si>
  <si>
    <t xml:space="preserve">沙漠绿洲</t>
  </si>
  <si>
    <t xml:space="preserve">石嘴山市</t>
  </si>
  <si>
    <t xml:space="preserve">沙湖旅游景区</t>
  </si>
  <si>
    <t xml:space="preserve">沙漠湖泊</t>
  </si>
  <si>
    <t xml:space="preserve">新疆</t>
  </si>
  <si>
    <t xml:space="preserve">吐鲁番市</t>
  </si>
  <si>
    <t xml:space="preserve">吐鲁番葡萄沟</t>
  </si>
  <si>
    <r>
      <rPr>
        <sz val="10"/>
        <rFont val="Arial"/>
        <family val="0"/>
        <charset val="1"/>
      </rPr>
      <t xml:space="preserve">7-9</t>
    </r>
    <r>
      <rPr>
        <sz val="10"/>
        <rFont val="Noto Sans CJK SC"/>
        <family val="2"/>
      </rPr>
      <t xml:space="preserve">月</t>
    </r>
  </si>
  <si>
    <t xml:space="preserve">火焰山景区</t>
  </si>
  <si>
    <t xml:space="preserve">阿勒泰地区</t>
  </si>
  <si>
    <t xml:space="preserve">喀纳斯景区</t>
  </si>
  <si>
    <t xml:space="preserve">伊犁州</t>
  </si>
  <si>
    <t xml:space="preserve">那拉提旅游风景区</t>
  </si>
  <si>
    <t xml:space="preserve">自然草原</t>
  </si>
  <si>
    <t xml:space="preserve">喀拉峻风景区</t>
  </si>
  <si>
    <t xml:space="preserve">博州</t>
  </si>
  <si>
    <t xml:space="preserve">赛里木湖景区</t>
  </si>
  <si>
    <t xml:space="preserve">克拉玛依市</t>
  </si>
  <si>
    <t xml:space="preserve">世界魔鬼城景区</t>
  </si>
  <si>
    <t xml:space="preserve">巴州</t>
  </si>
  <si>
    <t xml:space="preserve">天山大峡谷景区</t>
  </si>
  <si>
    <t xml:space="preserve">阿克苏地区</t>
  </si>
  <si>
    <t xml:space="preserve">天山托木尔景区</t>
  </si>
  <si>
    <t xml:space="preserve">喀什地区</t>
  </si>
  <si>
    <t xml:space="preserve">泽普金湖杨景区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</si>
  <si>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</si>
  <si>
    <t xml:space="preserve">喀什噶尔老城景区</t>
  </si>
  <si>
    <t xml:space="preserve">帕米尔旅游区</t>
  </si>
  <si>
    <t xml:space="preserve">特克斯八卦城景区</t>
  </si>
  <si>
    <t xml:space="preserve">昌吉州</t>
  </si>
  <si>
    <t xml:space="preserve">天山天池景区</t>
  </si>
  <si>
    <t xml:space="preserve">和田地区</t>
  </si>
  <si>
    <t xml:space="preserve">和田团城景区</t>
  </si>
  <si>
    <t xml:space="preserve">可可托海景区</t>
  </si>
  <si>
    <t xml:space="preserve">白沙湖景区</t>
  </si>
  <si>
    <t xml:space="preserve">伊犁河景区</t>
  </si>
  <si>
    <t xml:space="preserve">新疆兵团</t>
  </si>
  <si>
    <t xml:space="preserve">第十师</t>
  </si>
  <si>
    <r>
      <rPr>
        <b val="true"/>
        <sz val="10"/>
        <rFont val="Noto Sans CJK SC"/>
        <family val="2"/>
      </rPr>
      <t xml:space="preserve">白沙湖景区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兵团</t>
    </r>
    <r>
      <rPr>
        <b val="true"/>
        <sz val="10"/>
        <rFont val="Arial"/>
        <family val="0"/>
        <charset val="1"/>
      </rPr>
      <t xml:space="preserve">)</t>
    </r>
  </si>
  <si>
    <t xml:space="preserve">张家口市</t>
  </si>
  <si>
    <t xml:space="preserve">崇礼翠云山银河滑雪场景区</t>
  </si>
  <si>
    <t xml:space="preserve">冰雪运动</t>
  </si>
  <si>
    <t xml:space="preserve">呼伦贝尔市</t>
  </si>
  <si>
    <t xml:space="preserve">呼伦贝尔草原旅游区</t>
  </si>
  <si>
    <t xml:space="preserve">东北虎林园</t>
  </si>
  <si>
    <t xml:space="preserve">生态观光</t>
  </si>
  <si>
    <r>
      <rPr>
        <sz val="10"/>
        <rFont val="Arial"/>
        <family val="0"/>
        <charset val="1"/>
      </rPr>
      <t xml:space="preserve">5-9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/12-2</t>
    </r>
    <r>
      <rPr>
        <sz val="10"/>
        <rFont val="Noto Sans CJK SC"/>
        <family val="2"/>
      </rPr>
      <t xml:space="preserve">月</t>
    </r>
  </si>
  <si>
    <t xml:space="preserve">黄浦区</t>
  </si>
  <si>
    <r>
      <rPr>
        <b val="true"/>
        <sz val="10"/>
        <rFont val="Noto Sans CJK SC"/>
        <family val="2"/>
      </rPr>
      <t xml:space="preserve">上海外滩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陆家嘴景区</t>
    </r>
  </si>
  <si>
    <t xml:space="preserve">赣州市</t>
  </si>
  <si>
    <t xml:space="preserve">通天岩景区</t>
  </si>
  <si>
    <t xml:space="preserve">长沙世界之窗</t>
  </si>
  <si>
    <t xml:space="preserve">东莞市</t>
  </si>
  <si>
    <t xml:space="preserve">观音山国家森林公园</t>
  </si>
  <si>
    <t xml:space="preserve">柳州市</t>
  </si>
  <si>
    <t xml:space="preserve">柳州龙潭景区</t>
  </si>
  <si>
    <t xml:space="preserve">琼海市</t>
  </si>
  <si>
    <t xml:space="preserve">博鳌亚洲论坛永久会址景区</t>
  </si>
  <si>
    <t xml:space="preserve">会议文化</t>
  </si>
  <si>
    <r>
      <rPr>
        <sz val="10"/>
        <rFont val="Arial"/>
        <family val="0"/>
        <charset val="1"/>
      </rPr>
      <t xml:space="preserve">11-4</t>
    </r>
    <r>
      <rPr>
        <sz val="10"/>
        <rFont val="Noto Sans CJK SC"/>
        <family val="2"/>
      </rPr>
      <t xml:space="preserve">月</t>
    </r>
  </si>
  <si>
    <t xml:space="preserve">涪陵区</t>
  </si>
  <si>
    <t xml:space="preserve">武陵山大裂谷景区</t>
  </si>
  <si>
    <t xml:space="preserve">六盘水市</t>
  </si>
  <si>
    <t xml:space="preserve">乌蒙大草原旅游景区</t>
  </si>
  <si>
    <t xml:space="preserve">苍山洱海景区</t>
  </si>
  <si>
    <t xml:space="preserve">甘南州</t>
  </si>
  <si>
    <t xml:space="preserve">拉卜楞寺景区</t>
  </si>
  <si>
    <t xml:space="preserve">贺兰山岩画景区</t>
  </si>
  <si>
    <t xml:space="preserve">玉树州</t>
  </si>
  <si>
    <r>
      <rPr>
        <b val="true"/>
        <sz val="10"/>
        <rFont val="Noto Sans CJK SC"/>
        <family val="2"/>
      </rPr>
      <t xml:space="preserve">勒巴沟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文成公主庙景区</t>
    </r>
  </si>
  <si>
    <r>
      <rPr>
        <b val="true"/>
        <sz val="16"/>
        <color rgb="FF1F4E79"/>
        <rFont val="Noto Sans CJK SC"/>
        <family val="2"/>
      </rPr>
      <t xml:space="preserve">中国</t>
    </r>
    <r>
      <rPr>
        <b val="true"/>
        <sz val="16"/>
        <color rgb="FF1F4E79"/>
        <rFont val="Arial"/>
        <family val="0"/>
        <charset val="1"/>
      </rPr>
      <t xml:space="preserve">5A</t>
    </r>
    <r>
      <rPr>
        <b val="true"/>
        <sz val="16"/>
        <color rgb="FF1F4E79"/>
        <rFont val="Noto Sans CJK SC"/>
        <family val="2"/>
      </rPr>
      <t xml:space="preserve">景区各省</t>
    </r>
    <r>
      <rPr>
        <b val="true"/>
        <sz val="16"/>
        <color rgb="FF1F4E79"/>
        <rFont val="Arial"/>
        <family val="0"/>
        <charset val="1"/>
      </rPr>
      <t xml:space="preserve">/</t>
    </r>
    <r>
      <rPr>
        <b val="true"/>
        <sz val="16"/>
        <color rgb="FF1F4E79"/>
        <rFont val="Noto Sans CJK SC"/>
        <family val="2"/>
      </rPr>
      <t xml:space="preserve">自治区</t>
    </r>
    <r>
      <rPr>
        <b val="true"/>
        <sz val="16"/>
        <color rgb="FF1F4E79"/>
        <rFont val="Arial"/>
        <family val="0"/>
        <charset val="1"/>
      </rPr>
      <t xml:space="preserve">/</t>
    </r>
    <r>
      <rPr>
        <b val="true"/>
        <sz val="16"/>
        <color rgb="FF1F4E79"/>
        <rFont val="Noto Sans CJK SC"/>
        <family val="2"/>
      </rPr>
      <t xml:space="preserve">直辖市分布统计</t>
    </r>
  </si>
  <si>
    <r>
      <rPr>
        <b val="true"/>
        <sz val="11"/>
        <color rgb="FFFFFFFF"/>
        <rFont val="Arial"/>
        <family val="0"/>
        <charset val="1"/>
      </rPr>
      <t xml:space="preserve">5A</t>
    </r>
    <r>
      <rPr>
        <b val="true"/>
        <sz val="11"/>
        <color rgb="FFFFFFFF"/>
        <rFont val="Noto Sans CJK SC"/>
        <family val="2"/>
      </rPr>
      <t xml:space="preserve">景区数量</t>
    </r>
  </si>
  <si>
    <t xml:space="preserve">平均口碑</t>
  </si>
  <si>
    <t xml:space="preserve">平均交通可达性</t>
  </si>
  <si>
    <t xml:space="preserve">平均性价比</t>
  </si>
  <si>
    <t xml:space="preserve">平均文化价值</t>
  </si>
  <si>
    <t xml:space="preserve">平均综合满意度</t>
  </si>
  <si>
    <t xml:space="preserve">综合加权满意度评分体系说明</t>
  </si>
  <si>
    <t xml:space="preserve">评估维度</t>
  </si>
  <si>
    <r>
      <rPr>
        <b val="true"/>
        <sz val="11"/>
        <color rgb="FFFFFFFF"/>
        <rFont val="Noto Sans CJK SC"/>
        <family val="2"/>
      </rPr>
      <t xml:space="preserve">权重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</si>
  <si>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评分标准</t>
  </si>
  <si>
    <t xml:space="preserve">数据来源</t>
  </si>
  <si>
    <t xml:space="preserve">游客口碑</t>
  </si>
  <si>
    <r>
      <rPr>
        <sz val="10"/>
        <rFont val="Noto Sans CJK SC"/>
        <family val="2"/>
      </rPr>
      <t xml:space="preserve">携程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马蜂窝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大众点评等平台综合评分折算</t>
    </r>
  </si>
  <si>
    <t xml:space="preserve">在线旅游平台</t>
  </si>
  <si>
    <t xml:space="preserve">亲子友好度</t>
  </si>
  <si>
    <t xml:space="preserve">儿童设施、游乐项目、安全性、教育性</t>
  </si>
  <si>
    <r>
      <rPr>
        <sz val="10"/>
        <rFont val="Noto Sans CJK SC"/>
        <family val="2"/>
      </rPr>
      <t xml:space="preserve">平台亲子游标签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评论分析</t>
    </r>
  </si>
  <si>
    <t xml:space="preserve">老人友好度</t>
  </si>
  <si>
    <t xml:space="preserve">无障碍设施、坡度难度、休息点、医疗保障</t>
  </si>
  <si>
    <r>
      <rPr>
        <sz val="10"/>
        <rFont val="Noto Sans CJK SC"/>
        <family val="2"/>
      </rPr>
      <t xml:space="preserve">景区公开信息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游客反馈</t>
    </r>
  </si>
  <si>
    <t xml:space="preserve">夫妻友好度</t>
  </si>
  <si>
    <t xml:space="preserve">浪漫氛围、拍照打卡、文化体验丰富度</t>
  </si>
  <si>
    <r>
      <rPr>
        <sz val="10"/>
        <rFont val="Noto Sans CJK SC"/>
        <family val="2"/>
      </rPr>
      <t xml:space="preserve">社交媒体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情侣游评论</t>
    </r>
  </si>
  <si>
    <t xml:space="preserve">一人游友好度</t>
  </si>
  <si>
    <t xml:space="preserve">安全性、社交氛围、独行便利度</t>
  </si>
  <si>
    <t xml:space="preserve">独行游客评论分析</t>
  </si>
  <si>
    <t xml:space="preserve">交通可达性</t>
  </si>
  <si>
    <r>
      <rPr>
        <sz val="10"/>
        <rFont val="Noto Sans CJK SC"/>
        <family val="2"/>
      </rPr>
      <t xml:space="preserve">高铁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机场距离、市内公交、自驾便利度</t>
    </r>
  </si>
  <si>
    <r>
      <rPr>
        <sz val="10"/>
        <rFont val="Noto Sans CJK SC"/>
        <family val="2"/>
      </rPr>
      <t xml:space="preserve">交通数据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百度地图</t>
    </r>
  </si>
  <si>
    <r>
      <rPr>
        <sz val="10"/>
        <rFont val="Noto Sans CJK SC"/>
        <family val="2"/>
      </rPr>
      <t xml:space="preserve">季节适宜性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全年</t>
    </r>
    <r>
      <rPr>
        <sz val="10"/>
        <rFont val="Arial"/>
        <family val="0"/>
        <charset val="1"/>
      </rPr>
      <t xml:space="preserve">)</t>
    </r>
  </si>
  <si>
    <t xml:space="preserve">全年可游天数比例、气候舒适度</t>
  </si>
  <si>
    <r>
      <rPr>
        <sz val="10"/>
        <rFont val="Noto Sans CJK SC"/>
        <family val="2"/>
      </rPr>
      <t xml:space="preserve">气象数据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景区开放日历</t>
    </r>
  </si>
  <si>
    <r>
      <rPr>
        <sz val="10"/>
        <rFont val="Noto Sans CJK SC"/>
        <family val="2"/>
      </rPr>
      <t xml:space="preserve">文化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生态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独特价值</t>
    </r>
  </si>
  <si>
    <t xml:space="preserve">世界遗产、唯一性、文化深度、生态等级</t>
  </si>
  <si>
    <r>
      <rPr>
        <sz val="10"/>
        <rFont val="Noto Sans CJK SC"/>
        <family val="2"/>
      </rPr>
      <t xml:space="preserve">文旅部</t>
    </r>
    <r>
      <rPr>
        <sz val="10"/>
        <rFont val="Arial"/>
        <family val="0"/>
        <charset val="1"/>
      </rPr>
      <t xml:space="preserve">+UNESCO</t>
    </r>
  </si>
  <si>
    <t xml:space="preserve">基础设施与配套</t>
  </si>
  <si>
    <r>
      <rPr>
        <sz val="10"/>
        <rFont val="Noto Sans CJK SC"/>
        <family val="2"/>
      </rPr>
      <t xml:space="preserve">酒店、餐饮、购物、</t>
    </r>
    <r>
      <rPr>
        <sz val="10"/>
        <rFont val="Arial"/>
        <family val="0"/>
        <charset val="1"/>
      </rPr>
      <t xml:space="preserve">WiFi</t>
    </r>
    <r>
      <rPr>
        <sz val="10"/>
        <rFont val="Noto Sans CJK SC"/>
        <family val="2"/>
      </rPr>
      <t xml:space="preserve">、卫生间、导览</t>
    </r>
  </si>
  <si>
    <r>
      <rPr>
        <sz val="10"/>
        <rFont val="Noto Sans CJK SC"/>
        <family val="2"/>
      </rPr>
      <t xml:space="preserve">景区标准化评定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实地</t>
    </r>
  </si>
  <si>
    <r>
      <rPr>
        <sz val="10"/>
        <rFont val="Noto Sans CJK SC"/>
        <family val="2"/>
      </rPr>
      <t xml:space="preserve">门票价格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体验价值比、免费项目占比</t>
    </r>
  </si>
  <si>
    <r>
      <rPr>
        <sz val="10"/>
        <rFont val="Noto Sans CJK SC"/>
        <family val="2"/>
      </rPr>
      <t xml:space="preserve">门票价格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游客满意度</t>
    </r>
  </si>
  <si>
    <r>
      <rPr>
        <b val="true"/>
        <sz val="11"/>
        <color rgb="FFC00000"/>
        <rFont val="Noto Sans CJK SC"/>
        <family val="2"/>
      </rPr>
      <t xml:space="preserve">公式</t>
    </r>
    <r>
      <rPr>
        <b val="true"/>
        <sz val="11"/>
        <color rgb="FFC00000"/>
        <rFont val="Arial"/>
        <family val="0"/>
        <charset val="1"/>
      </rPr>
      <t xml:space="preserve">: </t>
    </r>
    <r>
      <rPr>
        <b val="true"/>
        <sz val="11"/>
        <color rgb="FFC00000"/>
        <rFont val="Noto Sans CJK SC"/>
        <family val="2"/>
      </rPr>
      <t xml:space="preserve">综合加权满意度 </t>
    </r>
    <r>
      <rPr>
        <b val="true"/>
        <sz val="11"/>
        <color rgb="FFC00000"/>
        <rFont val="Arial"/>
        <family val="0"/>
        <charset val="1"/>
      </rPr>
      <t xml:space="preserve">= Σ(</t>
    </r>
    <r>
      <rPr>
        <b val="true"/>
        <sz val="11"/>
        <color rgb="FFC00000"/>
        <rFont val="Noto Sans CJK SC"/>
        <family val="2"/>
      </rPr>
      <t xml:space="preserve">各维度得分 </t>
    </r>
    <r>
      <rPr>
        <b val="true"/>
        <sz val="11"/>
        <color rgb="FFC00000"/>
        <rFont val="Arial"/>
        <family val="0"/>
        <charset val="1"/>
      </rPr>
      <t xml:space="preserve">× </t>
    </r>
    <r>
      <rPr>
        <b val="true"/>
        <sz val="11"/>
        <color rgb="FFC00000"/>
        <rFont val="Noto Sans CJK SC"/>
        <family val="2"/>
      </rPr>
      <t xml:space="preserve">对应权重</t>
    </r>
    <r>
      <rPr>
        <b val="true"/>
        <sz val="11"/>
        <color rgb="FFC00000"/>
        <rFont val="Arial"/>
        <family val="0"/>
        <charset val="1"/>
      </rPr>
      <t xml:space="preserve">)</t>
    </r>
  </si>
  <si>
    <r>
      <rPr>
        <sz val="10"/>
        <color rgb="FF666666"/>
        <rFont val="Noto Sans CJK SC"/>
        <family val="2"/>
      </rPr>
      <t xml:space="preserve">说明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Noto Sans CJK SC"/>
        <family val="2"/>
      </rPr>
      <t xml:space="preserve">游览时长、日均预算、最佳季节</t>
    </r>
    <r>
      <rPr>
        <sz val="10"/>
        <color rgb="FF666666"/>
        <rFont val="Arial"/>
        <family val="0"/>
        <charset val="1"/>
      </rPr>
      <t xml:space="preserve">/</t>
    </r>
    <r>
      <rPr>
        <sz val="10"/>
        <color rgb="FF666666"/>
        <rFont val="Noto Sans CJK SC"/>
        <family val="2"/>
      </rPr>
      <t xml:space="preserve">月份为参考信息，不参与加权计算。</t>
    </r>
  </si>
  <si>
    <r>
      <rPr>
        <sz val="10"/>
        <color rgb="FF666666"/>
        <rFont val="Noto Sans CJK SC"/>
        <family val="2"/>
      </rPr>
      <t xml:space="preserve">声明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Noto Sans CJK SC"/>
        <family val="2"/>
      </rPr>
      <t xml:space="preserve">评分基于公开数据和综合研究，仅供参考，不构成旅行建议。部分数据基于专家评估和多平台交叉验证。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</si>
</sst>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Noto Sans CJK SC"/>
      <family val="2"/>
    </font>
    <font>
      <b val="true"/>
      <sz val="16"/>
      <color rgb="FF1F4E79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10" min="7" style="0" width="8"/>
    <col collapsed="false" customWidth="true" hidden="false" outlineLevel="0" max="12" min="11" style="0" width="10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8"/>
    <col collapsed="false" customWidth="true" hidden="false" outlineLevel="0" max="20" min="20" style="0" width="1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4" t="s">
        <v>21</v>
      </c>
    </row>
    <row r="4" customFormat="false" ht="15" hidden="false" customHeight="false" outlineLevel="0" collapsed="false">
      <c r="A4" s="5" t="n">
        <v>1</v>
      </c>
      <c r="B4" s="6" t="s">
        <v>22</v>
      </c>
      <c r="C4" s="6" t="s">
        <v>23</v>
      </c>
      <c r="D4" s="7" t="s">
        <v>24</v>
      </c>
      <c r="E4" s="6" t="s">
        <v>25</v>
      </c>
      <c r="F4" s="5" t="n">
        <v>9.5</v>
      </c>
      <c r="G4" s="5" t="n">
        <v>7</v>
      </c>
      <c r="H4" s="5" t="n">
        <v>6</v>
      </c>
      <c r="I4" s="5" t="n">
        <v>9</v>
      </c>
      <c r="J4" s="5" t="n">
        <v>9</v>
      </c>
      <c r="K4" s="5" t="n">
        <v>4</v>
      </c>
      <c r="L4" s="8" t="n">
        <v>600</v>
      </c>
      <c r="M4" s="5" t="n">
        <v>10</v>
      </c>
      <c r="N4" s="5" t="n">
        <v>7</v>
      </c>
      <c r="O4" s="6" t="s">
        <v>26</v>
      </c>
      <c r="P4" s="5" t="s">
        <v>27</v>
      </c>
      <c r="Q4" s="5" t="n">
        <v>10</v>
      </c>
      <c r="R4" s="5" t="n">
        <v>9</v>
      </c>
      <c r="S4" s="5" t="n">
        <v>8</v>
      </c>
      <c r="T4" s="9" t="n">
        <f aca="false">ROUND(F4*0.15 + G4*0.08 + H4*0.08 + I4*0.1 + J4*0.08 + M4*0.1 + N4*0.05 + Q4*0.15 + R4*0.12 + S4*0.09, 2)</f>
        <v>8.74</v>
      </c>
    </row>
    <row r="5" customFormat="false" ht="15" hidden="false" customHeight="false" outlineLevel="0" collapsed="false">
      <c r="A5" s="10" t="n">
        <v>2</v>
      </c>
      <c r="B5" s="11" t="s">
        <v>22</v>
      </c>
      <c r="C5" s="11" t="s">
        <v>28</v>
      </c>
      <c r="D5" s="12" t="s">
        <v>29</v>
      </c>
      <c r="E5" s="11" t="s">
        <v>30</v>
      </c>
      <c r="F5" s="10" t="n">
        <v>9.3</v>
      </c>
      <c r="G5" s="10" t="n">
        <v>8</v>
      </c>
      <c r="H5" s="10" t="n">
        <v>7</v>
      </c>
      <c r="I5" s="10" t="n">
        <v>9</v>
      </c>
      <c r="J5" s="10" t="n">
        <v>8</v>
      </c>
      <c r="K5" s="10" t="n">
        <v>4</v>
      </c>
      <c r="L5" s="13" t="n">
        <v>550</v>
      </c>
      <c r="M5" s="10" t="n">
        <v>10</v>
      </c>
      <c r="N5" s="10" t="n">
        <v>7</v>
      </c>
      <c r="O5" s="11" t="s">
        <v>31</v>
      </c>
      <c r="P5" s="10" t="s">
        <v>32</v>
      </c>
      <c r="Q5" s="10" t="n">
        <v>9.5</v>
      </c>
      <c r="R5" s="10" t="n">
        <v>9</v>
      </c>
      <c r="S5" s="10" t="n">
        <v>8.5</v>
      </c>
      <c r="T5" s="14" t="n">
        <f aca="false">ROUND(F5*0.15 + G5*0.08 + H5*0.08 + I5*0.1 + J5*0.08 + M5*0.1 + N5*0.05 + Q5*0.15 + R5*0.12 + S5*0.09, 2)</f>
        <v>8.76</v>
      </c>
    </row>
    <row r="6" customFormat="false" ht="15" hidden="false" customHeight="false" outlineLevel="0" collapsed="false">
      <c r="A6" s="5" t="n">
        <v>3</v>
      </c>
      <c r="B6" s="6" t="s">
        <v>22</v>
      </c>
      <c r="C6" s="6" t="s">
        <v>33</v>
      </c>
      <c r="D6" s="7" t="s">
        <v>34</v>
      </c>
      <c r="E6" s="6" t="s">
        <v>25</v>
      </c>
      <c r="F6" s="5" t="n">
        <v>9.2</v>
      </c>
      <c r="G6" s="5" t="n">
        <v>6</v>
      </c>
      <c r="H6" s="5" t="n">
        <v>4</v>
      </c>
      <c r="I6" s="5" t="n">
        <v>8</v>
      </c>
      <c r="J6" s="5" t="n">
        <v>8</v>
      </c>
      <c r="K6" s="5" t="n">
        <v>5</v>
      </c>
      <c r="L6" s="8" t="n">
        <v>500</v>
      </c>
      <c r="M6" s="5" t="n">
        <v>8</v>
      </c>
      <c r="N6" s="5" t="n">
        <v>7</v>
      </c>
      <c r="O6" s="6" t="s">
        <v>26</v>
      </c>
      <c r="P6" s="5" t="s">
        <v>27</v>
      </c>
      <c r="Q6" s="5" t="n">
        <v>10</v>
      </c>
      <c r="R6" s="5" t="n">
        <v>8</v>
      </c>
      <c r="S6" s="5" t="n">
        <v>7.5</v>
      </c>
      <c r="T6" s="9" t="n">
        <f aca="false">ROUND(F6*0.15 + G6*0.08 + H6*0.08 + I6*0.1 + J6*0.08 + M6*0.1 + N6*0.05 + Q6*0.15 + R6*0.12 + S6*0.09, 2)</f>
        <v>7.91</v>
      </c>
    </row>
    <row r="7" customFormat="false" ht="15" hidden="false" customHeight="false" outlineLevel="0" collapsed="false">
      <c r="A7" s="10" t="n">
        <v>4</v>
      </c>
      <c r="B7" s="11" t="s">
        <v>22</v>
      </c>
      <c r="C7" s="11" t="s">
        <v>23</v>
      </c>
      <c r="D7" s="12" t="s">
        <v>35</v>
      </c>
      <c r="E7" s="11" t="s">
        <v>25</v>
      </c>
      <c r="F7" s="10" t="n">
        <v>9</v>
      </c>
      <c r="G7" s="10" t="n">
        <v>7</v>
      </c>
      <c r="H7" s="10" t="n">
        <v>8</v>
      </c>
      <c r="I7" s="10" t="n">
        <v>8</v>
      </c>
      <c r="J7" s="10" t="n">
        <v>9</v>
      </c>
      <c r="K7" s="10" t="n">
        <v>3</v>
      </c>
      <c r="L7" s="13" t="n">
        <v>500</v>
      </c>
      <c r="M7" s="10" t="n">
        <v>10</v>
      </c>
      <c r="N7" s="10" t="n">
        <v>8</v>
      </c>
      <c r="O7" s="11" t="s">
        <v>36</v>
      </c>
      <c r="P7" s="10" t="s">
        <v>37</v>
      </c>
      <c r="Q7" s="10" t="n">
        <v>9</v>
      </c>
      <c r="R7" s="10" t="n">
        <v>9</v>
      </c>
      <c r="S7" s="10" t="n">
        <v>9</v>
      </c>
      <c r="T7" s="14" t="n">
        <f aca="false">ROUND(F7*0.15 + G7*0.08 + H7*0.08 + I7*0.1 + J7*0.08 + M7*0.1 + N7*0.05 + Q7*0.15 + R7*0.12 + S7*0.09, 2)</f>
        <v>8.71</v>
      </c>
    </row>
    <row r="8" customFormat="false" ht="15" hidden="false" customHeight="false" outlineLevel="0" collapsed="false">
      <c r="A8" s="5" t="n">
        <v>5</v>
      </c>
      <c r="B8" s="6" t="s">
        <v>22</v>
      </c>
      <c r="C8" s="6" t="s">
        <v>38</v>
      </c>
      <c r="D8" s="7" t="s">
        <v>39</v>
      </c>
      <c r="E8" s="6" t="s">
        <v>25</v>
      </c>
      <c r="F8" s="5" t="n">
        <v>8.5</v>
      </c>
      <c r="G8" s="5" t="n">
        <v>6</v>
      </c>
      <c r="H8" s="5" t="n">
        <v>5</v>
      </c>
      <c r="I8" s="5" t="n">
        <v>7</v>
      </c>
      <c r="J8" s="5" t="n">
        <v>7</v>
      </c>
      <c r="K8" s="5" t="n">
        <v>4</v>
      </c>
      <c r="L8" s="8" t="n">
        <v>500</v>
      </c>
      <c r="M8" s="5" t="n">
        <v>8</v>
      </c>
      <c r="N8" s="5" t="n">
        <v>7</v>
      </c>
      <c r="O8" s="6" t="s">
        <v>26</v>
      </c>
      <c r="P8" s="5" t="s">
        <v>27</v>
      </c>
      <c r="Q8" s="5" t="n">
        <v>9</v>
      </c>
      <c r="R8" s="5" t="n">
        <v>8</v>
      </c>
      <c r="S8" s="5" t="n">
        <v>7.5</v>
      </c>
      <c r="T8" s="9" t="n">
        <f aca="false">ROUND(F8*0.15 + G8*0.08 + H8*0.08 + I8*0.1 + J8*0.08 + M8*0.1 + N8*0.05 + Q8*0.15 + R8*0.12 + S8*0.09, 2)</f>
        <v>7.55</v>
      </c>
    </row>
    <row r="9" customFormat="false" ht="15" hidden="false" customHeight="false" outlineLevel="0" collapsed="false">
      <c r="A9" s="10" t="n">
        <v>6</v>
      </c>
      <c r="B9" s="11" t="s">
        <v>22</v>
      </c>
      <c r="C9" s="11" t="s">
        <v>40</v>
      </c>
      <c r="D9" s="12" t="s">
        <v>41</v>
      </c>
      <c r="E9" s="11" t="s">
        <v>25</v>
      </c>
      <c r="F9" s="10" t="n">
        <v>8.7</v>
      </c>
      <c r="G9" s="10" t="n">
        <v>6</v>
      </c>
      <c r="H9" s="10" t="n">
        <v>7</v>
      </c>
      <c r="I9" s="10" t="n">
        <v>8</v>
      </c>
      <c r="J9" s="10" t="n">
        <v>8</v>
      </c>
      <c r="K9" s="10" t="n">
        <v>2</v>
      </c>
      <c r="L9" s="13" t="n">
        <v>500</v>
      </c>
      <c r="M9" s="10" t="n">
        <v>10</v>
      </c>
      <c r="N9" s="10" t="n">
        <v>8</v>
      </c>
      <c r="O9" s="11" t="s">
        <v>36</v>
      </c>
      <c r="P9" s="10" t="s">
        <v>37</v>
      </c>
      <c r="Q9" s="10" t="n">
        <v>8.5</v>
      </c>
      <c r="R9" s="10" t="n">
        <v>8.5</v>
      </c>
      <c r="S9" s="10" t="n">
        <v>8</v>
      </c>
      <c r="T9" s="14" t="n">
        <f aca="false">ROUND(F9*0.15 + G9*0.08 + H9*0.08 + I9*0.1 + J9*0.08 + M9*0.1 + N9*0.05 + Q9*0.15 + R9*0.12 + S9*0.09, 2)</f>
        <v>8.2</v>
      </c>
    </row>
    <row r="10" customFormat="false" ht="15" hidden="false" customHeight="false" outlineLevel="0" collapsed="false">
      <c r="A10" s="5" t="n">
        <v>7</v>
      </c>
      <c r="B10" s="6" t="s">
        <v>22</v>
      </c>
      <c r="C10" s="6" t="s">
        <v>42</v>
      </c>
      <c r="D10" s="7" t="s">
        <v>43</v>
      </c>
      <c r="E10" s="6" t="s">
        <v>44</v>
      </c>
      <c r="F10" s="5" t="n">
        <v>8.3</v>
      </c>
      <c r="G10" s="5" t="n">
        <v>8</v>
      </c>
      <c r="H10" s="5" t="n">
        <v>7</v>
      </c>
      <c r="I10" s="5" t="n">
        <v>7</v>
      </c>
      <c r="J10" s="5" t="n">
        <v>7</v>
      </c>
      <c r="K10" s="5" t="n">
        <v>3</v>
      </c>
      <c r="L10" s="8" t="n">
        <v>600</v>
      </c>
      <c r="M10" s="5" t="n">
        <v>10</v>
      </c>
      <c r="N10" s="5" t="n">
        <v>8</v>
      </c>
      <c r="O10" s="6" t="s">
        <v>36</v>
      </c>
      <c r="P10" s="5" t="s">
        <v>45</v>
      </c>
      <c r="Q10" s="5" t="n">
        <v>7.5</v>
      </c>
      <c r="R10" s="5" t="n">
        <v>9</v>
      </c>
      <c r="S10" s="5" t="n">
        <v>8</v>
      </c>
      <c r="T10" s="9" t="n">
        <f aca="false">ROUND(F10*0.15 + G10*0.08 + H10*0.08 + I10*0.1 + J10*0.08 + M10*0.1 + N10*0.05 + Q10*0.15 + R10*0.12 + S10*0.09, 2)</f>
        <v>8.03</v>
      </c>
    </row>
    <row r="11" customFormat="false" ht="15" hidden="false" customHeight="false" outlineLevel="0" collapsed="false">
      <c r="A11" s="10" t="n">
        <v>8</v>
      </c>
      <c r="B11" s="11" t="s">
        <v>22</v>
      </c>
      <c r="C11" s="11" t="s">
        <v>28</v>
      </c>
      <c r="D11" s="12" t="s">
        <v>46</v>
      </c>
      <c r="E11" s="11" t="s">
        <v>47</v>
      </c>
      <c r="F11" s="10" t="n">
        <v>8.8</v>
      </c>
      <c r="G11" s="10" t="n">
        <v>7</v>
      </c>
      <c r="H11" s="10" t="n">
        <v>7</v>
      </c>
      <c r="I11" s="10" t="n">
        <v>8</v>
      </c>
      <c r="J11" s="10" t="n">
        <v>8</v>
      </c>
      <c r="K11" s="10" t="n">
        <v>3</v>
      </c>
      <c r="L11" s="13" t="n">
        <v>500</v>
      </c>
      <c r="M11" s="10" t="n">
        <v>10</v>
      </c>
      <c r="N11" s="10" t="n">
        <v>7</v>
      </c>
      <c r="O11" s="11" t="s">
        <v>48</v>
      </c>
      <c r="P11" s="10" t="s">
        <v>32</v>
      </c>
      <c r="Q11" s="10" t="n">
        <v>9</v>
      </c>
      <c r="R11" s="10" t="n">
        <v>8.5</v>
      </c>
      <c r="S11" s="10" t="n">
        <v>8.5</v>
      </c>
      <c r="T11" s="14" t="n">
        <f aca="false">ROUND(F11*0.15 + G11*0.08 + H11*0.08 + I11*0.1 + J11*0.08 + M11*0.1 + N11*0.05 + Q11*0.15 + R11*0.12 + S11*0.09, 2)</f>
        <v>8.37</v>
      </c>
    </row>
    <row r="12" customFormat="false" ht="15" hidden="false" customHeight="false" outlineLevel="0" collapsed="false">
      <c r="A12" s="5" t="n">
        <v>9</v>
      </c>
      <c r="B12" s="6" t="s">
        <v>22</v>
      </c>
      <c r="C12" s="6" t="s">
        <v>49</v>
      </c>
      <c r="D12" s="7" t="s">
        <v>50</v>
      </c>
      <c r="E12" s="6" t="s">
        <v>51</v>
      </c>
      <c r="F12" s="5" t="n">
        <v>8</v>
      </c>
      <c r="G12" s="5" t="n">
        <v>7</v>
      </c>
      <c r="H12" s="5" t="n">
        <v>7</v>
      </c>
      <c r="I12" s="5" t="n">
        <v>7</v>
      </c>
      <c r="J12" s="5" t="n">
        <v>7</v>
      </c>
      <c r="K12" s="5" t="n">
        <v>3</v>
      </c>
      <c r="L12" s="8" t="n">
        <v>500</v>
      </c>
      <c r="M12" s="5" t="n">
        <v>9</v>
      </c>
      <c r="N12" s="5" t="n">
        <v>7</v>
      </c>
      <c r="O12" s="6" t="s">
        <v>26</v>
      </c>
      <c r="P12" s="5" t="s">
        <v>27</v>
      </c>
      <c r="Q12" s="5" t="n">
        <v>8</v>
      </c>
      <c r="R12" s="5" t="n">
        <v>8</v>
      </c>
      <c r="S12" s="5" t="n">
        <v>8</v>
      </c>
      <c r="T12" s="9" t="n">
        <f aca="false">ROUND(F12*0.15 + G12*0.08 + H12*0.08 + I12*0.1 + J12*0.08 + M12*0.1 + N12*0.05 + Q12*0.15 + R12*0.12 + S12*0.09, 2)</f>
        <v>7.71</v>
      </c>
    </row>
    <row r="13" customFormat="false" ht="15" hidden="false" customHeight="false" outlineLevel="0" collapsed="false">
      <c r="A13" s="10" t="n">
        <v>10</v>
      </c>
      <c r="B13" s="11" t="s">
        <v>52</v>
      </c>
      <c r="C13" s="11" t="s">
        <v>53</v>
      </c>
      <c r="D13" s="12" t="s">
        <v>54</v>
      </c>
      <c r="E13" s="11" t="s">
        <v>25</v>
      </c>
      <c r="F13" s="10" t="n">
        <v>8.2</v>
      </c>
      <c r="G13" s="10" t="n">
        <v>7</v>
      </c>
      <c r="H13" s="10" t="n">
        <v>7</v>
      </c>
      <c r="I13" s="10" t="n">
        <v>7</v>
      </c>
      <c r="J13" s="10" t="n">
        <v>8</v>
      </c>
      <c r="K13" s="10" t="n">
        <v>3</v>
      </c>
      <c r="L13" s="13" t="n">
        <v>400</v>
      </c>
      <c r="M13" s="10" t="n">
        <v>9</v>
      </c>
      <c r="N13" s="10" t="n">
        <v>8</v>
      </c>
      <c r="O13" s="11" t="s">
        <v>36</v>
      </c>
      <c r="P13" s="10" t="s">
        <v>37</v>
      </c>
      <c r="Q13" s="10" t="n">
        <v>8</v>
      </c>
      <c r="R13" s="10" t="n">
        <v>8</v>
      </c>
      <c r="S13" s="10" t="n">
        <v>8.5</v>
      </c>
      <c r="T13" s="14" t="n">
        <f aca="false">ROUND(F13*0.15 + G13*0.08 + H13*0.08 + I13*0.1 + J13*0.08 + M13*0.1 + N13*0.05 + Q13*0.15 + R13*0.12 + S13*0.09, 2)</f>
        <v>7.92</v>
      </c>
    </row>
    <row r="14" customFormat="false" ht="15" hidden="false" customHeight="false" outlineLevel="0" collapsed="false">
      <c r="A14" s="5" t="n">
        <v>11</v>
      </c>
      <c r="B14" s="6" t="s">
        <v>52</v>
      </c>
      <c r="C14" s="6" t="s">
        <v>55</v>
      </c>
      <c r="D14" s="7" t="s">
        <v>56</v>
      </c>
      <c r="E14" s="6" t="s">
        <v>57</v>
      </c>
      <c r="F14" s="5" t="n">
        <v>8.3</v>
      </c>
      <c r="G14" s="5" t="n">
        <v>6</v>
      </c>
      <c r="H14" s="5" t="n">
        <v>5</v>
      </c>
      <c r="I14" s="5" t="n">
        <v>8</v>
      </c>
      <c r="J14" s="5" t="n">
        <v>7</v>
      </c>
      <c r="K14" s="5" t="n">
        <v>5</v>
      </c>
      <c r="L14" s="8" t="n">
        <v>400</v>
      </c>
      <c r="M14" s="5" t="n">
        <v>7</v>
      </c>
      <c r="N14" s="5" t="n">
        <v>7</v>
      </c>
      <c r="O14" s="6" t="s">
        <v>26</v>
      </c>
      <c r="P14" s="5" t="s">
        <v>27</v>
      </c>
      <c r="Q14" s="5" t="n">
        <v>8</v>
      </c>
      <c r="R14" s="5" t="n">
        <v>7.5</v>
      </c>
      <c r="S14" s="5" t="n">
        <v>7.5</v>
      </c>
      <c r="T14" s="9" t="n">
        <f aca="false">ROUND(F14*0.15 + G14*0.08 + H14*0.08 + I14*0.1 + J14*0.08 + M14*0.1 + N14*0.05 + Q14*0.15 + R14*0.12 + S14*0.09, 2)</f>
        <v>7.31</v>
      </c>
    </row>
    <row r="15" customFormat="false" ht="15" hidden="false" customHeight="false" outlineLevel="0" collapsed="false">
      <c r="A15" s="10" t="n">
        <v>12</v>
      </c>
      <c r="B15" s="11" t="s">
        <v>58</v>
      </c>
      <c r="C15" s="11" t="s">
        <v>59</v>
      </c>
      <c r="D15" s="12" t="s">
        <v>60</v>
      </c>
      <c r="E15" s="11" t="s">
        <v>25</v>
      </c>
      <c r="F15" s="10" t="n">
        <v>8.5</v>
      </c>
      <c r="G15" s="10" t="n">
        <v>7</v>
      </c>
      <c r="H15" s="10" t="n">
        <v>6</v>
      </c>
      <c r="I15" s="10" t="n">
        <v>8</v>
      </c>
      <c r="J15" s="10" t="n">
        <v>8</v>
      </c>
      <c r="K15" s="10" t="n">
        <v>4</v>
      </c>
      <c r="L15" s="13" t="n">
        <v>400</v>
      </c>
      <c r="M15" s="10" t="n">
        <v>8</v>
      </c>
      <c r="N15" s="10" t="n">
        <v>7</v>
      </c>
      <c r="O15" s="11" t="s">
        <v>61</v>
      </c>
      <c r="P15" s="10" t="s">
        <v>45</v>
      </c>
      <c r="Q15" s="10" t="n">
        <v>9</v>
      </c>
      <c r="R15" s="10" t="n">
        <v>8</v>
      </c>
      <c r="S15" s="10" t="n">
        <v>7.5</v>
      </c>
      <c r="T15" s="14" t="n">
        <f aca="false">ROUND(F15*0.15 + G15*0.08 + H15*0.08 + I15*0.1 + J15*0.08 + M15*0.1 + N15*0.05 + Q15*0.15 + R15*0.12 + S15*0.09, 2)</f>
        <v>7.89</v>
      </c>
    </row>
    <row r="16" customFormat="false" ht="15" hidden="false" customHeight="false" outlineLevel="0" collapsed="false">
      <c r="A16" s="5" t="n">
        <v>13</v>
      </c>
      <c r="B16" s="6" t="s">
        <v>58</v>
      </c>
      <c r="C16" s="6" t="s">
        <v>62</v>
      </c>
      <c r="D16" s="7" t="s">
        <v>63</v>
      </c>
      <c r="E16" s="6" t="s">
        <v>25</v>
      </c>
      <c r="F16" s="5" t="n">
        <v>9</v>
      </c>
      <c r="G16" s="5" t="n">
        <v>7</v>
      </c>
      <c r="H16" s="5" t="n">
        <v>6</v>
      </c>
      <c r="I16" s="5" t="n">
        <v>9</v>
      </c>
      <c r="J16" s="5" t="n">
        <v>8</v>
      </c>
      <c r="K16" s="5" t="n">
        <v>6</v>
      </c>
      <c r="L16" s="8" t="n">
        <v>450</v>
      </c>
      <c r="M16" s="5" t="n">
        <v>7</v>
      </c>
      <c r="N16" s="5" t="n">
        <v>6</v>
      </c>
      <c r="O16" s="6" t="s">
        <v>61</v>
      </c>
      <c r="P16" s="5" t="s">
        <v>64</v>
      </c>
      <c r="Q16" s="5" t="n">
        <v>9.5</v>
      </c>
      <c r="R16" s="5" t="n">
        <v>8</v>
      </c>
      <c r="S16" s="5" t="n">
        <v>8</v>
      </c>
      <c r="T16" s="9" t="n">
        <f aca="false">ROUND(F16*0.15 + G16*0.08 + H16*0.08 + I16*0.1 + J16*0.08 + M16*0.1 + N16*0.05 + Q16*0.15 + R16*0.12 + S16*0.09, 2)</f>
        <v>8.04</v>
      </c>
    </row>
    <row r="17" customFormat="false" ht="15" hidden="false" customHeight="false" outlineLevel="0" collapsed="false">
      <c r="A17" s="10" t="n">
        <v>14</v>
      </c>
      <c r="B17" s="11" t="s">
        <v>58</v>
      </c>
      <c r="C17" s="11" t="s">
        <v>65</v>
      </c>
      <c r="D17" s="12" t="s">
        <v>66</v>
      </c>
      <c r="E17" s="11" t="s">
        <v>67</v>
      </c>
      <c r="F17" s="10" t="n">
        <v>8</v>
      </c>
      <c r="G17" s="10" t="n">
        <v>7</v>
      </c>
      <c r="H17" s="10" t="n">
        <v>6</v>
      </c>
      <c r="I17" s="10" t="n">
        <v>7</v>
      </c>
      <c r="J17" s="10" t="n">
        <v>6</v>
      </c>
      <c r="K17" s="10" t="n">
        <v>5</v>
      </c>
      <c r="L17" s="13" t="n">
        <v>350</v>
      </c>
      <c r="M17" s="10" t="n">
        <v>7</v>
      </c>
      <c r="N17" s="10" t="n">
        <v>5</v>
      </c>
      <c r="O17" s="11" t="s">
        <v>68</v>
      </c>
      <c r="P17" s="10" t="s">
        <v>69</v>
      </c>
      <c r="Q17" s="10" t="n">
        <v>8</v>
      </c>
      <c r="R17" s="10" t="n">
        <v>7</v>
      </c>
      <c r="S17" s="10" t="n">
        <v>7</v>
      </c>
      <c r="T17" s="14" t="n">
        <f aca="false">ROUND(F17*0.15 + G17*0.08 + H17*0.08 + I17*0.1 + J17*0.08 + M17*0.1 + N17*0.05 + Q17*0.15 + R17*0.12 + S17*0.09, 2)</f>
        <v>7.04</v>
      </c>
    </row>
    <row r="18" customFormat="false" ht="15" hidden="false" customHeight="false" outlineLevel="0" collapsed="false">
      <c r="A18" s="5" t="n">
        <v>15</v>
      </c>
      <c r="B18" s="6" t="s">
        <v>58</v>
      </c>
      <c r="C18" s="6" t="s">
        <v>65</v>
      </c>
      <c r="D18" s="7" t="s">
        <v>70</v>
      </c>
      <c r="E18" s="6" t="s">
        <v>71</v>
      </c>
      <c r="F18" s="5" t="n">
        <v>8.3</v>
      </c>
      <c r="G18" s="5" t="n">
        <v>7</v>
      </c>
      <c r="H18" s="5" t="n">
        <v>5</v>
      </c>
      <c r="I18" s="5" t="n">
        <v>8</v>
      </c>
      <c r="J18" s="5" t="n">
        <v>7</v>
      </c>
      <c r="K18" s="5" t="n">
        <v>5</v>
      </c>
      <c r="L18" s="8" t="n">
        <v>400</v>
      </c>
      <c r="M18" s="5" t="n">
        <v>7</v>
      </c>
      <c r="N18" s="5" t="n">
        <v>6</v>
      </c>
      <c r="O18" s="6" t="s">
        <v>61</v>
      </c>
      <c r="P18" s="5" t="s">
        <v>45</v>
      </c>
      <c r="Q18" s="5" t="n">
        <v>8</v>
      </c>
      <c r="R18" s="5" t="n">
        <v>7.5</v>
      </c>
      <c r="S18" s="5" t="n">
        <v>7.5</v>
      </c>
      <c r="T18" s="9" t="n">
        <f aca="false">ROUND(F18*0.15 + G18*0.08 + H18*0.08 + I18*0.1 + J18*0.08 + M18*0.1 + N18*0.05 + Q18*0.15 + R18*0.12 + S18*0.09, 2)</f>
        <v>7.34</v>
      </c>
    </row>
    <row r="19" customFormat="false" ht="15" hidden="false" customHeight="false" outlineLevel="0" collapsed="false">
      <c r="A19" s="10" t="n">
        <v>16</v>
      </c>
      <c r="B19" s="11" t="s">
        <v>58</v>
      </c>
      <c r="C19" s="11" t="s">
        <v>72</v>
      </c>
      <c r="D19" s="12" t="s">
        <v>73</v>
      </c>
      <c r="E19" s="11" t="s">
        <v>74</v>
      </c>
      <c r="F19" s="10" t="n">
        <v>8.5</v>
      </c>
      <c r="G19" s="10" t="n">
        <v>6</v>
      </c>
      <c r="H19" s="10" t="n">
        <v>7</v>
      </c>
      <c r="I19" s="10" t="n">
        <v>7</v>
      </c>
      <c r="J19" s="10" t="n">
        <v>8</v>
      </c>
      <c r="K19" s="10" t="n">
        <v>3</v>
      </c>
      <c r="L19" s="13" t="n">
        <v>300</v>
      </c>
      <c r="M19" s="10" t="n">
        <v>7</v>
      </c>
      <c r="N19" s="10" t="n">
        <v>8</v>
      </c>
      <c r="O19" s="11" t="s">
        <v>36</v>
      </c>
      <c r="P19" s="10" t="s">
        <v>32</v>
      </c>
      <c r="Q19" s="10" t="n">
        <v>9</v>
      </c>
      <c r="R19" s="10" t="n">
        <v>8</v>
      </c>
      <c r="S19" s="10" t="n">
        <v>9</v>
      </c>
      <c r="T19" s="14" t="n">
        <f aca="false">ROUND(F19*0.15 + G19*0.08 + H19*0.08 + I19*0.1 + J19*0.08 + M19*0.1 + N19*0.05 + Q19*0.15 + R19*0.12 + S19*0.09, 2)</f>
        <v>7.88</v>
      </c>
    </row>
    <row r="20" customFormat="false" ht="15" hidden="false" customHeight="false" outlineLevel="0" collapsed="false">
      <c r="A20" s="5" t="n">
        <v>17</v>
      </c>
      <c r="B20" s="6" t="s">
        <v>58</v>
      </c>
      <c r="C20" s="6" t="s">
        <v>75</v>
      </c>
      <c r="D20" s="7" t="s">
        <v>76</v>
      </c>
      <c r="E20" s="6" t="s">
        <v>25</v>
      </c>
      <c r="F20" s="5" t="n">
        <v>8.2</v>
      </c>
      <c r="G20" s="5" t="n">
        <v>6</v>
      </c>
      <c r="H20" s="5" t="n">
        <v>5</v>
      </c>
      <c r="I20" s="5" t="n">
        <v>7</v>
      </c>
      <c r="J20" s="5" t="n">
        <v>7</v>
      </c>
      <c r="K20" s="5" t="n">
        <v>3</v>
      </c>
      <c r="L20" s="8" t="n">
        <v>300</v>
      </c>
      <c r="M20" s="5" t="n">
        <v>7</v>
      </c>
      <c r="N20" s="5" t="n">
        <v>7</v>
      </c>
      <c r="O20" s="6" t="s">
        <v>26</v>
      </c>
      <c r="P20" s="5" t="s">
        <v>27</v>
      </c>
      <c r="Q20" s="5" t="n">
        <v>8.5</v>
      </c>
      <c r="R20" s="5" t="n">
        <v>7</v>
      </c>
      <c r="S20" s="5" t="n">
        <v>8</v>
      </c>
      <c r="T20" s="9" t="n">
        <f aca="false">ROUND(F20*0.15 + G20*0.08 + H20*0.08 + I20*0.1 + J20*0.08 + M20*0.1 + N20*0.05 + Q20*0.15 + R20*0.12 + S20*0.09, 2)</f>
        <v>7.26</v>
      </c>
    </row>
    <row r="21" customFormat="false" ht="15" hidden="false" customHeight="false" outlineLevel="0" collapsed="false">
      <c r="A21" s="10" t="n">
        <v>18</v>
      </c>
      <c r="B21" s="11" t="s">
        <v>58</v>
      </c>
      <c r="C21" s="11" t="s">
        <v>65</v>
      </c>
      <c r="D21" s="12" t="s">
        <v>77</v>
      </c>
      <c r="E21" s="11" t="s">
        <v>25</v>
      </c>
      <c r="F21" s="10" t="n">
        <v>8</v>
      </c>
      <c r="G21" s="10" t="n">
        <v>5</v>
      </c>
      <c r="H21" s="10" t="n">
        <v>5</v>
      </c>
      <c r="I21" s="10" t="n">
        <v>7</v>
      </c>
      <c r="J21" s="10" t="n">
        <v>7</v>
      </c>
      <c r="K21" s="10" t="n">
        <v>4</v>
      </c>
      <c r="L21" s="13" t="n">
        <v>350</v>
      </c>
      <c r="M21" s="10" t="n">
        <v>6</v>
      </c>
      <c r="N21" s="10" t="n">
        <v>7</v>
      </c>
      <c r="O21" s="11" t="s">
        <v>26</v>
      </c>
      <c r="P21" s="10" t="s">
        <v>27</v>
      </c>
      <c r="Q21" s="10" t="n">
        <v>8.5</v>
      </c>
      <c r="R21" s="10" t="n">
        <v>7</v>
      </c>
      <c r="S21" s="10" t="n">
        <v>8</v>
      </c>
      <c r="T21" s="14" t="n">
        <f aca="false">ROUND(F21*0.15 + G21*0.08 + H21*0.08 + I21*0.1 + J21*0.08 + M21*0.1 + N21*0.05 + Q21*0.15 + R21*0.12 + S21*0.09, 2)</f>
        <v>7.05</v>
      </c>
    </row>
    <row r="22" customFormat="false" ht="15" hidden="false" customHeight="false" outlineLevel="0" collapsed="false">
      <c r="A22" s="5" t="n">
        <v>19</v>
      </c>
      <c r="B22" s="6" t="s">
        <v>58</v>
      </c>
      <c r="C22" s="6" t="s">
        <v>78</v>
      </c>
      <c r="D22" s="7" t="s">
        <v>79</v>
      </c>
      <c r="E22" s="6" t="s">
        <v>80</v>
      </c>
      <c r="F22" s="5" t="n">
        <v>7.8</v>
      </c>
      <c r="G22" s="5" t="n">
        <v>6</v>
      </c>
      <c r="H22" s="5" t="n">
        <v>5</v>
      </c>
      <c r="I22" s="5" t="n">
        <v>7</v>
      </c>
      <c r="J22" s="5" t="n">
        <v>7</v>
      </c>
      <c r="K22" s="5" t="n">
        <v>3</v>
      </c>
      <c r="L22" s="8" t="n">
        <v>300</v>
      </c>
      <c r="M22" s="5" t="n">
        <v>6</v>
      </c>
      <c r="N22" s="5" t="n">
        <v>8</v>
      </c>
      <c r="O22" s="6" t="s">
        <v>36</v>
      </c>
      <c r="P22" s="5" t="s">
        <v>45</v>
      </c>
      <c r="Q22" s="5" t="n">
        <v>7.5</v>
      </c>
      <c r="R22" s="5" t="n">
        <v>7</v>
      </c>
      <c r="S22" s="5" t="n">
        <v>8</v>
      </c>
      <c r="T22" s="9" t="n">
        <f aca="false">ROUND(F22*0.15 + G22*0.08 + H22*0.08 + I22*0.1 + J22*0.08 + M22*0.1 + N22*0.05 + Q22*0.15 + R22*0.12 + S22*0.09, 2)</f>
        <v>7</v>
      </c>
    </row>
    <row r="23" customFormat="false" ht="15" hidden="false" customHeight="false" outlineLevel="0" collapsed="false">
      <c r="A23" s="10" t="n">
        <v>20</v>
      </c>
      <c r="B23" s="11" t="s">
        <v>58</v>
      </c>
      <c r="C23" s="11" t="s">
        <v>81</v>
      </c>
      <c r="D23" s="12" t="s">
        <v>82</v>
      </c>
      <c r="E23" s="11" t="s">
        <v>25</v>
      </c>
      <c r="F23" s="10" t="n">
        <v>8.3</v>
      </c>
      <c r="G23" s="10" t="n">
        <v>5</v>
      </c>
      <c r="H23" s="10" t="n">
        <v>5</v>
      </c>
      <c r="I23" s="10" t="n">
        <v>7</v>
      </c>
      <c r="J23" s="10" t="n">
        <v>7</v>
      </c>
      <c r="K23" s="10" t="n">
        <v>4</v>
      </c>
      <c r="L23" s="13" t="n">
        <v>350</v>
      </c>
      <c r="M23" s="10" t="n">
        <v>7</v>
      </c>
      <c r="N23" s="10" t="n">
        <v>7</v>
      </c>
      <c r="O23" s="11" t="s">
        <v>26</v>
      </c>
      <c r="P23" s="10" t="s">
        <v>27</v>
      </c>
      <c r="Q23" s="10" t="n">
        <v>9</v>
      </c>
      <c r="R23" s="10" t="n">
        <v>7.5</v>
      </c>
      <c r="S23" s="10" t="n">
        <v>8</v>
      </c>
      <c r="T23" s="14" t="n">
        <f aca="false">ROUND(F23*0.15 + G23*0.08 + H23*0.08 + I23*0.1 + J23*0.08 + M23*0.1 + N23*0.05 + Q23*0.15 + R23*0.12 + S23*0.09, 2)</f>
        <v>7.33</v>
      </c>
    </row>
    <row r="24" customFormat="false" ht="15" hidden="false" customHeight="false" outlineLevel="0" collapsed="false">
      <c r="A24" s="5" t="n">
        <v>21</v>
      </c>
      <c r="B24" s="6" t="s">
        <v>58</v>
      </c>
      <c r="C24" s="6" t="s">
        <v>72</v>
      </c>
      <c r="D24" s="7" t="s">
        <v>83</v>
      </c>
      <c r="E24" s="6" t="s">
        <v>25</v>
      </c>
      <c r="F24" s="5" t="n">
        <v>8.5</v>
      </c>
      <c r="G24" s="5" t="n">
        <v>7</v>
      </c>
      <c r="H24" s="5" t="n">
        <v>7</v>
      </c>
      <c r="I24" s="5" t="n">
        <v>8</v>
      </c>
      <c r="J24" s="5" t="n">
        <v>8</v>
      </c>
      <c r="K24" s="5" t="n">
        <v>4</v>
      </c>
      <c r="L24" s="8" t="n">
        <v>300</v>
      </c>
      <c r="M24" s="5" t="n">
        <v>8</v>
      </c>
      <c r="N24" s="5" t="n">
        <v>8</v>
      </c>
      <c r="O24" s="6" t="s">
        <v>36</v>
      </c>
      <c r="P24" s="5" t="s">
        <v>37</v>
      </c>
      <c r="Q24" s="5" t="n">
        <v>8.5</v>
      </c>
      <c r="R24" s="5" t="n">
        <v>8</v>
      </c>
      <c r="S24" s="5" t="n">
        <v>9</v>
      </c>
      <c r="T24" s="9" t="n">
        <f aca="false">ROUND(F24*0.15 + G24*0.08 + H24*0.08 + I24*0.1 + J24*0.08 + M24*0.1 + N24*0.05 + Q24*0.15 + R24*0.12 + S24*0.09, 2)</f>
        <v>8.08</v>
      </c>
    </row>
    <row r="25" customFormat="false" ht="15" hidden="false" customHeight="false" outlineLevel="0" collapsed="false">
      <c r="A25" s="10" t="n">
        <v>22</v>
      </c>
      <c r="B25" s="11" t="s">
        <v>58</v>
      </c>
      <c r="C25" s="11" t="s">
        <v>65</v>
      </c>
      <c r="D25" s="12" t="s">
        <v>84</v>
      </c>
      <c r="E25" s="11" t="s">
        <v>57</v>
      </c>
      <c r="F25" s="10" t="n">
        <v>8.5</v>
      </c>
      <c r="G25" s="10" t="n">
        <v>5</v>
      </c>
      <c r="H25" s="10" t="n">
        <v>4</v>
      </c>
      <c r="I25" s="10" t="n">
        <v>8</v>
      </c>
      <c r="J25" s="10" t="n">
        <v>7</v>
      </c>
      <c r="K25" s="10" t="n">
        <v>5</v>
      </c>
      <c r="L25" s="13" t="n">
        <v>400</v>
      </c>
      <c r="M25" s="10" t="n">
        <v>7</v>
      </c>
      <c r="N25" s="10" t="n">
        <v>6</v>
      </c>
      <c r="O25" s="11" t="s">
        <v>61</v>
      </c>
      <c r="P25" s="10" t="s">
        <v>45</v>
      </c>
      <c r="Q25" s="10" t="n">
        <v>8</v>
      </c>
      <c r="R25" s="10" t="n">
        <v>7.5</v>
      </c>
      <c r="S25" s="10" t="n">
        <v>7.5</v>
      </c>
      <c r="T25" s="14" t="n">
        <f aca="false">ROUND(F25*0.15 + G25*0.08 + H25*0.08 + I25*0.1 + J25*0.08 + M25*0.1 + N25*0.05 + Q25*0.15 + R25*0.12 + S25*0.09, 2)</f>
        <v>7.13</v>
      </c>
    </row>
    <row r="26" customFormat="false" ht="15" hidden="false" customHeight="false" outlineLevel="0" collapsed="false">
      <c r="A26" s="5" t="n">
        <v>23</v>
      </c>
      <c r="B26" s="6" t="s">
        <v>58</v>
      </c>
      <c r="C26" s="6" t="s">
        <v>85</v>
      </c>
      <c r="D26" s="7" t="s">
        <v>86</v>
      </c>
      <c r="E26" s="6" t="s">
        <v>67</v>
      </c>
      <c r="F26" s="5" t="n">
        <v>8</v>
      </c>
      <c r="G26" s="5" t="n">
        <v>7</v>
      </c>
      <c r="H26" s="5" t="n">
        <v>7</v>
      </c>
      <c r="I26" s="5" t="n">
        <v>7</v>
      </c>
      <c r="J26" s="5" t="n">
        <v>7</v>
      </c>
      <c r="K26" s="5" t="n">
        <v>4</v>
      </c>
      <c r="L26" s="8" t="n">
        <v>300</v>
      </c>
      <c r="M26" s="5" t="n">
        <v>7</v>
      </c>
      <c r="N26" s="5" t="n">
        <v>6</v>
      </c>
      <c r="O26" s="6" t="s">
        <v>48</v>
      </c>
      <c r="P26" s="5" t="s">
        <v>32</v>
      </c>
      <c r="Q26" s="5" t="n">
        <v>7.5</v>
      </c>
      <c r="R26" s="5" t="n">
        <v>7.5</v>
      </c>
      <c r="S26" s="5" t="n">
        <v>8</v>
      </c>
      <c r="T26" s="9" t="n">
        <f aca="false">ROUND(F26*0.15 + G26*0.08 + H26*0.08 + I26*0.1 + J26*0.08 + M26*0.1 + N26*0.05 + Q26*0.15 + R26*0.12 + S26*0.09, 2)</f>
        <v>7.33</v>
      </c>
    </row>
    <row r="27" customFormat="false" ht="15" hidden="false" customHeight="false" outlineLevel="0" collapsed="false">
      <c r="A27" s="10" t="n">
        <v>24</v>
      </c>
      <c r="B27" s="11" t="s">
        <v>87</v>
      </c>
      <c r="C27" s="11" t="s">
        <v>88</v>
      </c>
      <c r="D27" s="12" t="s">
        <v>89</v>
      </c>
      <c r="E27" s="11" t="s">
        <v>25</v>
      </c>
      <c r="F27" s="10" t="n">
        <v>9.3</v>
      </c>
      <c r="G27" s="10" t="n">
        <v>7</v>
      </c>
      <c r="H27" s="10" t="n">
        <v>6</v>
      </c>
      <c r="I27" s="10" t="n">
        <v>9</v>
      </c>
      <c r="J27" s="10" t="n">
        <v>9</v>
      </c>
      <c r="K27" s="10" t="n">
        <v>3</v>
      </c>
      <c r="L27" s="13" t="n">
        <v>400</v>
      </c>
      <c r="M27" s="10" t="n">
        <v>7</v>
      </c>
      <c r="N27" s="10" t="n">
        <v>7</v>
      </c>
      <c r="O27" s="11" t="s">
        <v>26</v>
      </c>
      <c r="P27" s="10" t="s">
        <v>45</v>
      </c>
      <c r="Q27" s="10" t="n">
        <v>10</v>
      </c>
      <c r="R27" s="10" t="n">
        <v>8.5</v>
      </c>
      <c r="S27" s="10" t="n">
        <v>8.5</v>
      </c>
      <c r="T27" s="14" t="n">
        <f aca="false">ROUND(F27*0.15 + G27*0.08 + H27*0.08 + I27*0.1 + J27*0.08 + M27*0.1 + N27*0.05 + Q27*0.15 + R27*0.12 + S27*0.09, 2)</f>
        <v>8.39</v>
      </c>
    </row>
    <row r="28" customFormat="false" ht="15" hidden="false" customHeight="false" outlineLevel="0" collapsed="false">
      <c r="A28" s="5" t="n">
        <v>25</v>
      </c>
      <c r="B28" s="6" t="s">
        <v>87</v>
      </c>
      <c r="C28" s="6" t="s">
        <v>90</v>
      </c>
      <c r="D28" s="7" t="s">
        <v>91</v>
      </c>
      <c r="E28" s="6" t="s">
        <v>92</v>
      </c>
      <c r="F28" s="5" t="n">
        <v>9</v>
      </c>
      <c r="G28" s="5" t="n">
        <v>5</v>
      </c>
      <c r="H28" s="5" t="n">
        <v>5</v>
      </c>
      <c r="I28" s="5" t="n">
        <v>8</v>
      </c>
      <c r="J28" s="5" t="n">
        <v>8</v>
      </c>
      <c r="K28" s="5" t="n">
        <v>8</v>
      </c>
      <c r="L28" s="8" t="n">
        <v>500</v>
      </c>
      <c r="M28" s="5" t="n">
        <v>7</v>
      </c>
      <c r="N28" s="5" t="n">
        <v>5</v>
      </c>
      <c r="O28" s="6" t="s">
        <v>68</v>
      </c>
      <c r="P28" s="5" t="s">
        <v>69</v>
      </c>
      <c r="Q28" s="5" t="n">
        <v>9.5</v>
      </c>
      <c r="R28" s="5" t="n">
        <v>7.5</v>
      </c>
      <c r="S28" s="5" t="n">
        <v>7.5</v>
      </c>
      <c r="T28" s="9" t="n">
        <f aca="false">ROUND(F28*0.15 + G28*0.08 + H28*0.08 + I28*0.1 + J28*0.08 + M28*0.1 + N28*0.05 + Q28*0.15 + R28*0.12 + S28*0.09, 2)</f>
        <v>7.54</v>
      </c>
    </row>
    <row r="29" customFormat="false" ht="15" hidden="false" customHeight="false" outlineLevel="0" collapsed="false">
      <c r="A29" s="10" t="n">
        <v>26</v>
      </c>
      <c r="B29" s="11" t="s">
        <v>87</v>
      </c>
      <c r="C29" s="11" t="s">
        <v>93</v>
      </c>
      <c r="D29" s="12" t="s">
        <v>94</v>
      </c>
      <c r="E29" s="11" t="s">
        <v>25</v>
      </c>
      <c r="F29" s="10" t="n">
        <v>9</v>
      </c>
      <c r="G29" s="10" t="n">
        <v>7</v>
      </c>
      <c r="H29" s="10" t="n">
        <v>6</v>
      </c>
      <c r="I29" s="10" t="n">
        <v>9</v>
      </c>
      <c r="J29" s="10" t="n">
        <v>9</v>
      </c>
      <c r="K29" s="10" t="n">
        <v>6</v>
      </c>
      <c r="L29" s="13" t="n">
        <v>400</v>
      </c>
      <c r="M29" s="10" t="n">
        <v>8</v>
      </c>
      <c r="N29" s="10" t="n">
        <v>7</v>
      </c>
      <c r="O29" s="11" t="s">
        <v>26</v>
      </c>
      <c r="P29" s="10" t="s">
        <v>27</v>
      </c>
      <c r="Q29" s="10" t="n">
        <v>9.5</v>
      </c>
      <c r="R29" s="10" t="n">
        <v>8</v>
      </c>
      <c r="S29" s="10" t="n">
        <v>8.5</v>
      </c>
      <c r="T29" s="14" t="n">
        <f aca="false">ROUND(F29*0.15 + G29*0.08 + H29*0.08 + I29*0.1 + J29*0.08 + M29*0.1 + N29*0.05 + Q29*0.15 + R29*0.12 + S29*0.09, 2)</f>
        <v>8.31</v>
      </c>
    </row>
    <row r="30" customFormat="false" ht="15" hidden="false" customHeight="false" outlineLevel="0" collapsed="false">
      <c r="A30" s="5" t="n">
        <v>27</v>
      </c>
      <c r="B30" s="6" t="s">
        <v>87</v>
      </c>
      <c r="C30" s="6" t="s">
        <v>95</v>
      </c>
      <c r="D30" s="7" t="s">
        <v>96</v>
      </c>
      <c r="E30" s="6" t="s">
        <v>25</v>
      </c>
      <c r="F30" s="5" t="n">
        <v>8.5</v>
      </c>
      <c r="G30" s="5" t="n">
        <v>6</v>
      </c>
      <c r="H30" s="5" t="n">
        <v>6</v>
      </c>
      <c r="I30" s="5" t="n">
        <v>8</v>
      </c>
      <c r="J30" s="5" t="n">
        <v>7</v>
      </c>
      <c r="K30" s="5" t="n">
        <v>3</v>
      </c>
      <c r="L30" s="8" t="n">
        <v>350</v>
      </c>
      <c r="M30" s="5" t="n">
        <v>6</v>
      </c>
      <c r="N30" s="5" t="n">
        <v>7</v>
      </c>
      <c r="O30" s="6" t="s">
        <v>26</v>
      </c>
      <c r="P30" s="5" t="s">
        <v>27</v>
      </c>
      <c r="Q30" s="5" t="n">
        <v>8.5</v>
      </c>
      <c r="R30" s="5" t="n">
        <v>7.5</v>
      </c>
      <c r="S30" s="5" t="n">
        <v>8</v>
      </c>
      <c r="T30" s="9" t="n">
        <f aca="false">ROUND(F30*0.15 + G30*0.08 + H30*0.08 + I30*0.1 + J30*0.08 + M30*0.1 + N30*0.05 + Q30*0.15 + R30*0.12 + S30*0.09, 2)</f>
        <v>7.44</v>
      </c>
    </row>
    <row r="31" customFormat="false" ht="15" hidden="false" customHeight="false" outlineLevel="0" collapsed="false">
      <c r="A31" s="10" t="n">
        <v>28</v>
      </c>
      <c r="B31" s="11" t="s">
        <v>87</v>
      </c>
      <c r="C31" s="11" t="s">
        <v>97</v>
      </c>
      <c r="D31" s="12" t="s">
        <v>98</v>
      </c>
      <c r="E31" s="11" t="s">
        <v>99</v>
      </c>
      <c r="F31" s="10" t="n">
        <v>9</v>
      </c>
      <c r="G31" s="10" t="n">
        <v>6</v>
      </c>
      <c r="H31" s="10" t="n">
        <v>5</v>
      </c>
      <c r="I31" s="10" t="n">
        <v>8</v>
      </c>
      <c r="J31" s="10" t="n">
        <v>8</v>
      </c>
      <c r="K31" s="10" t="n">
        <v>2</v>
      </c>
      <c r="L31" s="13" t="n">
        <v>400</v>
      </c>
      <c r="M31" s="10" t="n">
        <v>6</v>
      </c>
      <c r="N31" s="10" t="n">
        <v>5</v>
      </c>
      <c r="O31" s="11" t="s">
        <v>26</v>
      </c>
      <c r="P31" s="10" t="s">
        <v>27</v>
      </c>
      <c r="Q31" s="10" t="n">
        <v>9</v>
      </c>
      <c r="R31" s="10" t="n">
        <v>7</v>
      </c>
      <c r="S31" s="10" t="n">
        <v>7.5</v>
      </c>
      <c r="T31" s="14" t="n">
        <f aca="false">ROUND(F31*0.15 + G31*0.08 + H31*0.08 + I31*0.1 + J31*0.08 + M31*0.1 + N31*0.05 + Q31*0.15 + R31*0.12 + S31*0.09, 2)</f>
        <v>7.39</v>
      </c>
    </row>
    <row r="32" customFormat="false" ht="15" hidden="false" customHeight="false" outlineLevel="0" collapsed="false">
      <c r="A32" s="5" t="n">
        <v>29</v>
      </c>
      <c r="B32" s="6" t="s">
        <v>87</v>
      </c>
      <c r="C32" s="6" t="s">
        <v>100</v>
      </c>
      <c r="D32" s="7" t="s">
        <v>101</v>
      </c>
      <c r="E32" s="6" t="s">
        <v>102</v>
      </c>
      <c r="F32" s="5" t="n">
        <v>8.5</v>
      </c>
      <c r="G32" s="5" t="n">
        <v>6</v>
      </c>
      <c r="H32" s="5" t="n">
        <v>5</v>
      </c>
      <c r="I32" s="5" t="n">
        <v>8</v>
      </c>
      <c r="J32" s="5" t="n">
        <v>7</v>
      </c>
      <c r="K32" s="5" t="n">
        <v>5</v>
      </c>
      <c r="L32" s="8" t="n">
        <v>400</v>
      </c>
      <c r="M32" s="5" t="n">
        <v>7</v>
      </c>
      <c r="N32" s="5" t="n">
        <v>6</v>
      </c>
      <c r="O32" s="6" t="s">
        <v>48</v>
      </c>
      <c r="P32" s="5" t="s">
        <v>32</v>
      </c>
      <c r="Q32" s="5" t="n">
        <v>8</v>
      </c>
      <c r="R32" s="5" t="n">
        <v>7.5</v>
      </c>
      <c r="S32" s="5" t="n">
        <v>7.5</v>
      </c>
      <c r="T32" s="9" t="n">
        <f aca="false">ROUND(F32*0.15 + G32*0.08 + H32*0.08 + I32*0.1 + J32*0.08 + M32*0.1 + N32*0.05 + Q32*0.15 + R32*0.12 + S32*0.09, 2)</f>
        <v>7.29</v>
      </c>
    </row>
    <row r="33" customFormat="false" ht="15" hidden="false" customHeight="false" outlineLevel="0" collapsed="false">
      <c r="A33" s="10" t="n">
        <v>30</v>
      </c>
      <c r="B33" s="11" t="s">
        <v>87</v>
      </c>
      <c r="C33" s="11" t="s">
        <v>103</v>
      </c>
      <c r="D33" s="12" t="s">
        <v>104</v>
      </c>
      <c r="E33" s="11" t="s">
        <v>25</v>
      </c>
      <c r="F33" s="10" t="n">
        <v>8.2</v>
      </c>
      <c r="G33" s="10" t="n">
        <v>5</v>
      </c>
      <c r="H33" s="10" t="n">
        <v>6</v>
      </c>
      <c r="I33" s="10" t="n">
        <v>7</v>
      </c>
      <c r="J33" s="10" t="n">
        <v>7</v>
      </c>
      <c r="K33" s="10" t="n">
        <v>2</v>
      </c>
      <c r="L33" s="13" t="n">
        <v>300</v>
      </c>
      <c r="M33" s="10" t="n">
        <v>7</v>
      </c>
      <c r="N33" s="10" t="n">
        <v>8</v>
      </c>
      <c r="O33" s="11" t="s">
        <v>36</v>
      </c>
      <c r="P33" s="10" t="s">
        <v>37</v>
      </c>
      <c r="Q33" s="10" t="n">
        <v>8.5</v>
      </c>
      <c r="R33" s="10" t="n">
        <v>7</v>
      </c>
      <c r="S33" s="10" t="n">
        <v>8.5</v>
      </c>
      <c r="T33" s="14" t="n">
        <f aca="false">ROUND(F33*0.15 + G33*0.08 + H33*0.08 + I33*0.1 + J33*0.08 + M33*0.1 + N33*0.05 + Q33*0.15 + R33*0.12 + S33*0.09, 2)</f>
        <v>7.35</v>
      </c>
    </row>
    <row r="34" customFormat="false" ht="15" hidden="false" customHeight="false" outlineLevel="0" collapsed="false">
      <c r="A34" s="5" t="n">
        <v>31</v>
      </c>
      <c r="B34" s="6" t="s">
        <v>87</v>
      </c>
      <c r="C34" s="6" t="s">
        <v>90</v>
      </c>
      <c r="D34" s="7" t="s">
        <v>105</v>
      </c>
      <c r="E34" s="6" t="s">
        <v>25</v>
      </c>
      <c r="F34" s="5" t="n">
        <v>8.3</v>
      </c>
      <c r="G34" s="5" t="n">
        <v>5</v>
      </c>
      <c r="H34" s="5" t="n">
        <v>4</v>
      </c>
      <c r="I34" s="5" t="n">
        <v>7</v>
      </c>
      <c r="J34" s="5" t="n">
        <v>8</v>
      </c>
      <c r="K34" s="5" t="n">
        <v>3</v>
      </c>
      <c r="L34" s="8" t="n">
        <v>350</v>
      </c>
      <c r="M34" s="5" t="n">
        <v>6</v>
      </c>
      <c r="N34" s="5" t="n">
        <v>6</v>
      </c>
      <c r="O34" s="6" t="s">
        <v>61</v>
      </c>
      <c r="P34" s="5" t="s">
        <v>45</v>
      </c>
      <c r="Q34" s="5" t="n">
        <v>8.5</v>
      </c>
      <c r="R34" s="5" t="n">
        <v>7</v>
      </c>
      <c r="S34" s="5" t="n">
        <v>7.5</v>
      </c>
      <c r="T34" s="9" t="n">
        <f aca="false">ROUND(F34*0.15 + G34*0.08 + H34*0.08 + I34*0.1 + J34*0.08 + M34*0.1 + N34*0.05 + Q34*0.15 + R34*0.12 + S34*0.09, 2)</f>
        <v>7</v>
      </c>
    </row>
    <row r="35" customFormat="false" ht="15" hidden="false" customHeight="false" outlineLevel="0" collapsed="false">
      <c r="A35" s="10" t="n">
        <v>32</v>
      </c>
      <c r="B35" s="11" t="s">
        <v>87</v>
      </c>
      <c r="C35" s="11" t="s">
        <v>106</v>
      </c>
      <c r="D35" s="12" t="s">
        <v>107</v>
      </c>
      <c r="E35" s="11" t="s">
        <v>108</v>
      </c>
      <c r="F35" s="10" t="n">
        <v>8.7</v>
      </c>
      <c r="G35" s="10" t="n">
        <v>6</v>
      </c>
      <c r="H35" s="10" t="n">
        <v>4</v>
      </c>
      <c r="I35" s="10" t="n">
        <v>8</v>
      </c>
      <c r="J35" s="10" t="n">
        <v>7</v>
      </c>
      <c r="K35" s="10" t="n">
        <v>5</v>
      </c>
      <c r="L35" s="13" t="n">
        <v>400</v>
      </c>
      <c r="M35" s="10" t="n">
        <v>6</v>
      </c>
      <c r="N35" s="10" t="n">
        <v>6</v>
      </c>
      <c r="O35" s="11" t="s">
        <v>61</v>
      </c>
      <c r="P35" s="10" t="s">
        <v>45</v>
      </c>
      <c r="Q35" s="10" t="n">
        <v>8.5</v>
      </c>
      <c r="R35" s="10" t="n">
        <v>7.5</v>
      </c>
      <c r="S35" s="10" t="n">
        <v>7.5</v>
      </c>
      <c r="T35" s="14" t="n">
        <f aca="false">ROUND(F35*0.15 + G35*0.08 + H35*0.08 + I35*0.1 + J35*0.08 + M35*0.1 + N35*0.05 + Q35*0.15 + R35*0.12 + S35*0.09, 2)</f>
        <v>7.22</v>
      </c>
    </row>
    <row r="36" customFormat="false" ht="15" hidden="false" customHeight="false" outlineLevel="0" collapsed="false">
      <c r="A36" s="5" t="n">
        <v>33</v>
      </c>
      <c r="B36" s="6" t="s">
        <v>87</v>
      </c>
      <c r="C36" s="6" t="s">
        <v>109</v>
      </c>
      <c r="D36" s="7" t="s">
        <v>110</v>
      </c>
      <c r="E36" s="6" t="s">
        <v>25</v>
      </c>
      <c r="F36" s="5" t="n">
        <v>8.5</v>
      </c>
      <c r="G36" s="5" t="n">
        <v>6</v>
      </c>
      <c r="H36" s="5" t="n">
        <v>6</v>
      </c>
      <c r="I36" s="5" t="n">
        <v>8</v>
      </c>
      <c r="J36" s="5" t="n">
        <v>8</v>
      </c>
      <c r="K36" s="5" t="n">
        <v>4</v>
      </c>
      <c r="L36" s="8" t="n">
        <v>400</v>
      </c>
      <c r="M36" s="5" t="n">
        <v>8</v>
      </c>
      <c r="N36" s="5" t="n">
        <v>7</v>
      </c>
      <c r="O36" s="6" t="s">
        <v>26</v>
      </c>
      <c r="P36" s="5" t="s">
        <v>27</v>
      </c>
      <c r="Q36" s="5" t="n">
        <v>9</v>
      </c>
      <c r="R36" s="5" t="n">
        <v>8</v>
      </c>
      <c r="S36" s="5" t="n">
        <v>8</v>
      </c>
      <c r="T36" s="9" t="n">
        <f aca="false">ROUND(F36*0.15 + G36*0.08 + H36*0.08 + I36*0.1 + J36*0.08 + M36*0.1 + N36*0.05 + Q36*0.15 + R36*0.12 + S36*0.09, 2)</f>
        <v>7.86</v>
      </c>
    </row>
    <row r="37" customFormat="false" ht="15" hidden="false" customHeight="false" outlineLevel="0" collapsed="false">
      <c r="A37" s="10" t="n">
        <v>34</v>
      </c>
      <c r="B37" s="11" t="s">
        <v>111</v>
      </c>
      <c r="C37" s="11" t="s">
        <v>112</v>
      </c>
      <c r="D37" s="12" t="s">
        <v>113</v>
      </c>
      <c r="E37" s="11" t="s">
        <v>25</v>
      </c>
      <c r="F37" s="10" t="n">
        <v>8</v>
      </c>
      <c r="G37" s="10" t="n">
        <v>6</v>
      </c>
      <c r="H37" s="10" t="n">
        <v>5</v>
      </c>
      <c r="I37" s="10" t="n">
        <v>7</v>
      </c>
      <c r="J37" s="10" t="n">
        <v>7</v>
      </c>
      <c r="K37" s="10" t="n">
        <v>3</v>
      </c>
      <c r="L37" s="13" t="n">
        <v>400</v>
      </c>
      <c r="M37" s="10" t="n">
        <v>6</v>
      </c>
      <c r="N37" s="10" t="n">
        <v>6</v>
      </c>
      <c r="O37" s="11" t="s">
        <v>61</v>
      </c>
      <c r="P37" s="10" t="s">
        <v>64</v>
      </c>
      <c r="Q37" s="10" t="n">
        <v>8.5</v>
      </c>
      <c r="R37" s="10" t="n">
        <v>7</v>
      </c>
      <c r="S37" s="10" t="n">
        <v>7</v>
      </c>
      <c r="T37" s="14" t="n">
        <f aca="false">ROUND(F37*0.15 + G37*0.08 + H37*0.08 + I37*0.1 + J37*0.08 + M37*0.1 + N37*0.05 + Q37*0.15 + R37*0.12 + S37*0.09, 2)</f>
        <v>6.99</v>
      </c>
    </row>
    <row r="38" customFormat="false" ht="15" hidden="false" customHeight="false" outlineLevel="0" collapsed="false">
      <c r="A38" s="5" t="n">
        <v>35</v>
      </c>
      <c r="B38" s="6" t="s">
        <v>111</v>
      </c>
      <c r="C38" s="6" t="s">
        <v>114</v>
      </c>
      <c r="D38" s="7" t="s">
        <v>115</v>
      </c>
      <c r="E38" s="6" t="s">
        <v>116</v>
      </c>
      <c r="F38" s="5" t="n">
        <v>8.3</v>
      </c>
      <c r="G38" s="5" t="n">
        <v>5</v>
      </c>
      <c r="H38" s="5" t="n">
        <v>4</v>
      </c>
      <c r="I38" s="5" t="n">
        <v>7</v>
      </c>
      <c r="J38" s="5" t="n">
        <v>7</v>
      </c>
      <c r="K38" s="5" t="n">
        <v>5</v>
      </c>
      <c r="L38" s="8" t="n">
        <v>450</v>
      </c>
      <c r="M38" s="5" t="n">
        <v>5</v>
      </c>
      <c r="N38" s="5" t="n">
        <v>4</v>
      </c>
      <c r="O38" s="6" t="s">
        <v>68</v>
      </c>
      <c r="P38" s="5" t="s">
        <v>69</v>
      </c>
      <c r="Q38" s="5" t="n">
        <v>8.5</v>
      </c>
      <c r="R38" s="5" t="n">
        <v>6.5</v>
      </c>
      <c r="S38" s="5" t="n">
        <v>7</v>
      </c>
      <c r="T38" s="9" t="n">
        <f aca="false">ROUND(F38*0.15 + G38*0.08 + H38*0.08 + I38*0.1 + J38*0.08 + M38*0.1 + N38*0.05 + Q38*0.15 + R38*0.12 + S38*0.09, 2)</f>
        <v>6.61</v>
      </c>
    </row>
    <row r="39" customFormat="false" ht="15" hidden="false" customHeight="false" outlineLevel="0" collapsed="false">
      <c r="A39" s="10" t="n">
        <v>36</v>
      </c>
      <c r="B39" s="11" t="s">
        <v>111</v>
      </c>
      <c r="C39" s="11" t="s">
        <v>112</v>
      </c>
      <c r="D39" s="12" t="s">
        <v>117</v>
      </c>
      <c r="E39" s="11" t="s">
        <v>118</v>
      </c>
      <c r="F39" s="10" t="n">
        <v>8.2</v>
      </c>
      <c r="G39" s="10" t="n">
        <v>7</v>
      </c>
      <c r="H39" s="10" t="n">
        <v>4</v>
      </c>
      <c r="I39" s="10" t="n">
        <v>8</v>
      </c>
      <c r="J39" s="10" t="n">
        <v>6</v>
      </c>
      <c r="K39" s="10" t="n">
        <v>4</v>
      </c>
      <c r="L39" s="13" t="n">
        <v>500</v>
      </c>
      <c r="M39" s="10" t="n">
        <v>6</v>
      </c>
      <c r="N39" s="10" t="n">
        <v>4</v>
      </c>
      <c r="O39" s="11" t="s">
        <v>26</v>
      </c>
      <c r="P39" s="10" t="s">
        <v>119</v>
      </c>
      <c r="Q39" s="10" t="n">
        <v>8</v>
      </c>
      <c r="R39" s="10" t="n">
        <v>7.5</v>
      </c>
      <c r="S39" s="10" t="n">
        <v>6.5</v>
      </c>
      <c r="T39" s="14" t="n">
        <f aca="false">ROUND(F39*0.15 + G39*0.08 + H39*0.08 + I39*0.1 + J39*0.08 + M39*0.1 + N39*0.05 + Q39*0.15 + R39*0.12 + S39*0.09, 2)</f>
        <v>6.88</v>
      </c>
    </row>
    <row r="40" customFormat="false" ht="15" hidden="false" customHeight="false" outlineLevel="0" collapsed="false">
      <c r="A40" s="5" t="n">
        <v>37</v>
      </c>
      <c r="B40" s="6" t="s">
        <v>111</v>
      </c>
      <c r="C40" s="6" t="s">
        <v>120</v>
      </c>
      <c r="D40" s="7" t="s">
        <v>121</v>
      </c>
      <c r="E40" s="6" t="s">
        <v>67</v>
      </c>
      <c r="F40" s="5" t="n">
        <v>9</v>
      </c>
      <c r="G40" s="5" t="n">
        <v>5</v>
      </c>
      <c r="H40" s="5" t="n">
        <v>4</v>
      </c>
      <c r="I40" s="5" t="n">
        <v>8</v>
      </c>
      <c r="J40" s="5" t="n">
        <v>8</v>
      </c>
      <c r="K40" s="5" t="n">
        <v>4</v>
      </c>
      <c r="L40" s="8" t="n">
        <v>600</v>
      </c>
      <c r="M40" s="5" t="n">
        <v>4</v>
      </c>
      <c r="N40" s="5" t="n">
        <v>2</v>
      </c>
      <c r="O40" s="6" t="s">
        <v>122</v>
      </c>
      <c r="P40" s="5" t="s">
        <v>123</v>
      </c>
      <c r="Q40" s="5" t="n">
        <v>9.5</v>
      </c>
      <c r="R40" s="5" t="n">
        <v>6</v>
      </c>
      <c r="S40" s="5" t="n">
        <v>6.5</v>
      </c>
      <c r="T40" s="9" t="n">
        <f aca="false">ROUND(F40*0.15 + G40*0.08 + H40*0.08 + I40*0.1 + J40*0.08 + M40*0.1 + N40*0.05 + Q40*0.15 + R40*0.12 + S40*0.09, 2)</f>
        <v>6.74</v>
      </c>
    </row>
    <row r="41" customFormat="false" ht="15" hidden="false" customHeight="false" outlineLevel="0" collapsed="false">
      <c r="A41" s="10" t="n">
        <v>38</v>
      </c>
      <c r="B41" s="11" t="s">
        <v>111</v>
      </c>
      <c r="C41" s="11" t="s">
        <v>124</v>
      </c>
      <c r="D41" s="12" t="s">
        <v>125</v>
      </c>
      <c r="E41" s="11" t="s">
        <v>126</v>
      </c>
      <c r="F41" s="10" t="n">
        <v>8</v>
      </c>
      <c r="G41" s="10" t="n">
        <v>6</v>
      </c>
      <c r="H41" s="10" t="n">
        <v>5</v>
      </c>
      <c r="I41" s="10" t="n">
        <v>7</v>
      </c>
      <c r="J41" s="10" t="n">
        <v>7</v>
      </c>
      <c r="K41" s="10" t="n">
        <v>3</v>
      </c>
      <c r="L41" s="13" t="n">
        <v>500</v>
      </c>
      <c r="M41" s="10" t="n">
        <v>5</v>
      </c>
      <c r="N41" s="10" t="n">
        <v>5</v>
      </c>
      <c r="O41" s="11" t="s">
        <v>68</v>
      </c>
      <c r="P41" s="10" t="s">
        <v>69</v>
      </c>
      <c r="Q41" s="10" t="n">
        <v>7.5</v>
      </c>
      <c r="R41" s="10" t="n">
        <v>7</v>
      </c>
      <c r="S41" s="10" t="n">
        <v>7</v>
      </c>
      <c r="T41" s="14" t="n">
        <f aca="false">ROUND(F41*0.15 + G41*0.08 + H41*0.08 + I41*0.1 + J41*0.08 + M41*0.1 + N41*0.05 + Q41*0.15 + R41*0.12 + S41*0.09, 2)</f>
        <v>6.69</v>
      </c>
    </row>
    <row r="42" customFormat="false" ht="15" hidden="false" customHeight="false" outlineLevel="0" collapsed="false">
      <c r="A42" s="5" t="n">
        <v>39</v>
      </c>
      <c r="B42" s="6" t="s">
        <v>111</v>
      </c>
      <c r="C42" s="6" t="s">
        <v>127</v>
      </c>
      <c r="D42" s="7" t="s">
        <v>128</v>
      </c>
      <c r="E42" s="6" t="s">
        <v>67</v>
      </c>
      <c r="F42" s="5" t="n">
        <v>8.5</v>
      </c>
      <c r="G42" s="5" t="n">
        <v>5</v>
      </c>
      <c r="H42" s="5" t="n">
        <v>4</v>
      </c>
      <c r="I42" s="5" t="n">
        <v>8</v>
      </c>
      <c r="J42" s="5" t="n">
        <v>7</v>
      </c>
      <c r="K42" s="5" t="n">
        <v>6</v>
      </c>
      <c r="L42" s="8" t="n">
        <v>500</v>
      </c>
      <c r="M42" s="5" t="n">
        <v>4</v>
      </c>
      <c r="N42" s="5" t="n">
        <v>4</v>
      </c>
      <c r="O42" s="6" t="s">
        <v>61</v>
      </c>
      <c r="P42" s="5" t="s">
        <v>64</v>
      </c>
      <c r="Q42" s="5" t="n">
        <v>9</v>
      </c>
      <c r="R42" s="5" t="n">
        <v>6.5</v>
      </c>
      <c r="S42" s="5" t="n">
        <v>7</v>
      </c>
      <c r="T42" s="9" t="n">
        <f aca="false">ROUND(F42*0.15 + G42*0.08 + H42*0.08 + I42*0.1 + J42*0.08 + M42*0.1 + N42*0.05 + Q42*0.15 + R42*0.12 + S42*0.09, 2)</f>
        <v>6.72</v>
      </c>
    </row>
    <row r="43" customFormat="false" ht="15" hidden="false" customHeight="false" outlineLevel="0" collapsed="false">
      <c r="A43" s="10" t="n">
        <v>40</v>
      </c>
      <c r="B43" s="11" t="s">
        <v>111</v>
      </c>
      <c r="C43" s="11" t="s">
        <v>129</v>
      </c>
      <c r="D43" s="12" t="s">
        <v>130</v>
      </c>
      <c r="E43" s="11" t="s">
        <v>108</v>
      </c>
      <c r="F43" s="10" t="n">
        <v>8.2</v>
      </c>
      <c r="G43" s="10" t="n">
        <v>5</v>
      </c>
      <c r="H43" s="10" t="n">
        <v>4</v>
      </c>
      <c r="I43" s="10" t="n">
        <v>7</v>
      </c>
      <c r="J43" s="10" t="n">
        <v>7</v>
      </c>
      <c r="K43" s="10" t="n">
        <v>4</v>
      </c>
      <c r="L43" s="13" t="n">
        <v>400</v>
      </c>
      <c r="M43" s="10" t="n">
        <v>5</v>
      </c>
      <c r="N43" s="10" t="n">
        <v>5</v>
      </c>
      <c r="O43" s="11" t="s">
        <v>61</v>
      </c>
      <c r="P43" s="10" t="s">
        <v>45</v>
      </c>
      <c r="Q43" s="10" t="n">
        <v>8</v>
      </c>
      <c r="R43" s="10" t="n">
        <v>6.5</v>
      </c>
      <c r="S43" s="10" t="n">
        <v>7.5</v>
      </c>
      <c r="T43" s="14" t="n">
        <f aca="false">ROUND(F43*0.15 + G43*0.08 + H43*0.08 + I43*0.1 + J43*0.08 + M43*0.1 + N43*0.05 + Q43*0.15 + R43*0.12 + S43*0.09, 2)</f>
        <v>6.62</v>
      </c>
    </row>
    <row r="44" customFormat="false" ht="15" hidden="false" customHeight="false" outlineLevel="0" collapsed="false">
      <c r="A44" s="5" t="n">
        <v>41</v>
      </c>
      <c r="B44" s="6" t="s">
        <v>131</v>
      </c>
      <c r="C44" s="6" t="s">
        <v>132</v>
      </c>
      <c r="D44" s="7" t="s">
        <v>133</v>
      </c>
      <c r="E44" s="6" t="s">
        <v>134</v>
      </c>
      <c r="F44" s="5" t="n">
        <v>8</v>
      </c>
      <c r="G44" s="5" t="n">
        <v>8</v>
      </c>
      <c r="H44" s="5" t="n">
        <v>7</v>
      </c>
      <c r="I44" s="5" t="n">
        <v>7</v>
      </c>
      <c r="J44" s="5" t="n">
        <v>7</v>
      </c>
      <c r="K44" s="5" t="n">
        <v>4</v>
      </c>
      <c r="L44" s="8" t="n">
        <v>400</v>
      </c>
      <c r="M44" s="5" t="n">
        <v>9</v>
      </c>
      <c r="N44" s="5" t="n">
        <v>6</v>
      </c>
      <c r="O44" s="6" t="s">
        <v>48</v>
      </c>
      <c r="P44" s="5" t="s">
        <v>32</v>
      </c>
      <c r="Q44" s="5" t="n">
        <v>7</v>
      </c>
      <c r="R44" s="5" t="n">
        <v>8</v>
      </c>
      <c r="S44" s="5" t="n">
        <v>7.5</v>
      </c>
      <c r="T44" s="9" t="n">
        <f aca="false">ROUND(F44*0.15 + G44*0.08 + H44*0.08 + I44*0.1 + J44*0.08 + M44*0.1 + N44*0.05 + Q44*0.15 + R44*0.12 + S44*0.09, 2)</f>
        <v>7.55</v>
      </c>
    </row>
    <row r="45" customFormat="false" ht="15" hidden="false" customHeight="false" outlineLevel="0" collapsed="false">
      <c r="A45" s="10" t="n">
        <v>42</v>
      </c>
      <c r="B45" s="11" t="s">
        <v>131</v>
      </c>
      <c r="C45" s="11" t="s">
        <v>135</v>
      </c>
      <c r="D45" s="12" t="s">
        <v>136</v>
      </c>
      <c r="E45" s="11" t="s">
        <v>137</v>
      </c>
      <c r="F45" s="10" t="n">
        <v>8.5</v>
      </c>
      <c r="G45" s="10" t="n">
        <v>8</v>
      </c>
      <c r="H45" s="10" t="n">
        <v>7</v>
      </c>
      <c r="I45" s="10" t="n">
        <v>8</v>
      </c>
      <c r="J45" s="10" t="n">
        <v>7</v>
      </c>
      <c r="K45" s="10" t="n">
        <v>6</v>
      </c>
      <c r="L45" s="13" t="n">
        <v>600</v>
      </c>
      <c r="M45" s="10" t="n">
        <v>8</v>
      </c>
      <c r="N45" s="10" t="n">
        <v>6</v>
      </c>
      <c r="O45" s="11" t="s">
        <v>68</v>
      </c>
      <c r="P45" s="10" t="s">
        <v>64</v>
      </c>
      <c r="Q45" s="10" t="n">
        <v>8</v>
      </c>
      <c r="R45" s="10" t="n">
        <v>8.5</v>
      </c>
      <c r="S45" s="10" t="n">
        <v>7</v>
      </c>
      <c r="T45" s="14" t="n">
        <f aca="false">ROUND(F45*0.15 + G45*0.08 + H45*0.08 + I45*0.1 + J45*0.08 + M45*0.1 + N45*0.05 + Q45*0.15 + R45*0.12 + S45*0.09, 2)</f>
        <v>7.79</v>
      </c>
    </row>
    <row r="46" customFormat="false" ht="15" hidden="false" customHeight="false" outlineLevel="0" collapsed="false">
      <c r="A46" s="5" t="n">
        <v>43</v>
      </c>
      <c r="B46" s="6" t="s">
        <v>131</v>
      </c>
      <c r="C46" s="6" t="s">
        <v>135</v>
      </c>
      <c r="D46" s="7" t="s">
        <v>138</v>
      </c>
      <c r="E46" s="6" t="s">
        <v>139</v>
      </c>
      <c r="F46" s="5" t="n">
        <v>8.5</v>
      </c>
      <c r="G46" s="5" t="n">
        <v>9</v>
      </c>
      <c r="H46" s="5" t="n">
        <v>6</v>
      </c>
      <c r="I46" s="5" t="n">
        <v>7</v>
      </c>
      <c r="J46" s="5" t="n">
        <v>6</v>
      </c>
      <c r="K46" s="5" t="n">
        <v>5</v>
      </c>
      <c r="L46" s="8" t="n">
        <v>600</v>
      </c>
      <c r="M46" s="5" t="n">
        <v>9</v>
      </c>
      <c r="N46" s="5" t="n">
        <v>6</v>
      </c>
      <c r="O46" s="6" t="s">
        <v>68</v>
      </c>
      <c r="P46" s="5" t="s">
        <v>45</v>
      </c>
      <c r="Q46" s="5" t="n">
        <v>7.5</v>
      </c>
      <c r="R46" s="5" t="n">
        <v>8.5</v>
      </c>
      <c r="S46" s="5" t="n">
        <v>7</v>
      </c>
      <c r="T46" s="9" t="n">
        <f aca="false">ROUND(F46*0.15 + G46*0.08 + H46*0.08 + I46*0.1 + J46*0.08 + M46*0.1 + N46*0.05 + Q46*0.15 + R46*0.12 + S46*0.09, 2)</f>
        <v>7.63</v>
      </c>
    </row>
    <row r="47" customFormat="false" ht="15" hidden="false" customHeight="false" outlineLevel="0" collapsed="false">
      <c r="A47" s="10" t="n">
        <v>44</v>
      </c>
      <c r="B47" s="11" t="s">
        <v>131</v>
      </c>
      <c r="C47" s="11" t="s">
        <v>140</v>
      </c>
      <c r="D47" s="12" t="s">
        <v>141</v>
      </c>
      <c r="E47" s="11" t="s">
        <v>80</v>
      </c>
      <c r="F47" s="10" t="n">
        <v>8.3</v>
      </c>
      <c r="G47" s="10" t="n">
        <v>7</v>
      </c>
      <c r="H47" s="10" t="n">
        <v>5</v>
      </c>
      <c r="I47" s="10" t="n">
        <v>7</v>
      </c>
      <c r="J47" s="10" t="n">
        <v>7</v>
      </c>
      <c r="K47" s="10" t="n">
        <v>3</v>
      </c>
      <c r="L47" s="13" t="n">
        <v>400</v>
      </c>
      <c r="M47" s="10" t="n">
        <v>7</v>
      </c>
      <c r="N47" s="10" t="n">
        <v>7</v>
      </c>
      <c r="O47" s="11" t="s">
        <v>61</v>
      </c>
      <c r="P47" s="10" t="s">
        <v>45</v>
      </c>
      <c r="Q47" s="10" t="n">
        <v>8</v>
      </c>
      <c r="R47" s="10" t="n">
        <v>7.5</v>
      </c>
      <c r="S47" s="10" t="n">
        <v>7.5</v>
      </c>
      <c r="T47" s="14" t="n">
        <f aca="false">ROUND(F47*0.15 + G47*0.08 + H47*0.08 + I47*0.1 + J47*0.08 + M47*0.1 + N47*0.05 + Q47*0.15 + R47*0.12 + S47*0.09, 2)</f>
        <v>7.29</v>
      </c>
    </row>
    <row r="48" customFormat="false" ht="15" hidden="false" customHeight="false" outlineLevel="0" collapsed="false">
      <c r="A48" s="5" t="n">
        <v>45</v>
      </c>
      <c r="B48" s="6" t="s">
        <v>131</v>
      </c>
      <c r="C48" s="6" t="s">
        <v>142</v>
      </c>
      <c r="D48" s="7" t="s">
        <v>143</v>
      </c>
      <c r="E48" s="6" t="s">
        <v>57</v>
      </c>
      <c r="F48" s="5" t="n">
        <v>8</v>
      </c>
      <c r="G48" s="5" t="n">
        <v>5</v>
      </c>
      <c r="H48" s="5" t="n">
        <v>4</v>
      </c>
      <c r="I48" s="5" t="n">
        <v>7</v>
      </c>
      <c r="J48" s="5" t="n">
        <v>7</v>
      </c>
      <c r="K48" s="5" t="n">
        <v>5</v>
      </c>
      <c r="L48" s="8" t="n">
        <v>350</v>
      </c>
      <c r="M48" s="5" t="n">
        <v>7</v>
      </c>
      <c r="N48" s="5" t="n">
        <v>6</v>
      </c>
      <c r="O48" s="6" t="s">
        <v>61</v>
      </c>
      <c r="P48" s="5" t="s">
        <v>45</v>
      </c>
      <c r="Q48" s="5" t="n">
        <v>7.5</v>
      </c>
      <c r="R48" s="5" t="n">
        <v>7</v>
      </c>
      <c r="S48" s="5" t="n">
        <v>7.5</v>
      </c>
      <c r="T48" s="9" t="n">
        <f aca="false">ROUND(F48*0.15 + G48*0.08 + H48*0.08 + I48*0.1 + J48*0.08 + M48*0.1 + N48*0.05 + Q48*0.15 + R48*0.12 + S48*0.09, 2)</f>
        <v>6.82</v>
      </c>
    </row>
    <row r="49" customFormat="false" ht="15" hidden="false" customHeight="false" outlineLevel="0" collapsed="false">
      <c r="A49" s="10" t="n">
        <v>46</v>
      </c>
      <c r="B49" s="11" t="s">
        <v>131</v>
      </c>
      <c r="C49" s="11" t="s">
        <v>144</v>
      </c>
      <c r="D49" s="12" t="s">
        <v>145</v>
      </c>
      <c r="E49" s="11" t="s">
        <v>146</v>
      </c>
      <c r="F49" s="10" t="n">
        <v>8</v>
      </c>
      <c r="G49" s="10" t="n">
        <v>6</v>
      </c>
      <c r="H49" s="10" t="n">
        <v>6</v>
      </c>
      <c r="I49" s="10" t="n">
        <v>7</v>
      </c>
      <c r="J49" s="10" t="n">
        <v>7</v>
      </c>
      <c r="K49" s="10" t="n">
        <v>3</v>
      </c>
      <c r="L49" s="13" t="n">
        <v>400</v>
      </c>
      <c r="M49" s="10" t="n">
        <v>7</v>
      </c>
      <c r="N49" s="10" t="n">
        <v>7</v>
      </c>
      <c r="O49" s="11" t="s">
        <v>48</v>
      </c>
      <c r="P49" s="10" t="s">
        <v>32</v>
      </c>
      <c r="Q49" s="10" t="n">
        <v>7.5</v>
      </c>
      <c r="R49" s="10" t="n">
        <v>7</v>
      </c>
      <c r="S49" s="10" t="n">
        <v>7.5</v>
      </c>
      <c r="T49" s="14" t="n">
        <f aca="false">ROUND(F49*0.15 + G49*0.08 + H49*0.08 + I49*0.1 + J49*0.08 + M49*0.1 + N49*0.05 + Q49*0.15 + R49*0.12 + S49*0.09, 2)</f>
        <v>7.11</v>
      </c>
    </row>
    <row r="50" customFormat="false" ht="15" hidden="false" customHeight="false" outlineLevel="0" collapsed="false">
      <c r="A50" s="5" t="n">
        <v>47</v>
      </c>
      <c r="B50" s="6" t="s">
        <v>147</v>
      </c>
      <c r="C50" s="6" t="s">
        <v>148</v>
      </c>
      <c r="D50" s="7" t="s">
        <v>149</v>
      </c>
      <c r="E50" s="6" t="s">
        <v>150</v>
      </c>
      <c r="F50" s="5" t="n">
        <v>9.2</v>
      </c>
      <c r="G50" s="5" t="n">
        <v>6</v>
      </c>
      <c r="H50" s="5" t="n">
        <v>4</v>
      </c>
      <c r="I50" s="5" t="n">
        <v>8</v>
      </c>
      <c r="J50" s="5" t="n">
        <v>8</v>
      </c>
      <c r="K50" s="5" t="n">
        <v>6</v>
      </c>
      <c r="L50" s="8" t="n">
        <v>700</v>
      </c>
      <c r="M50" s="5" t="n">
        <v>6</v>
      </c>
      <c r="N50" s="5" t="n">
        <v>4</v>
      </c>
      <c r="O50" s="6" t="s">
        <v>151</v>
      </c>
      <c r="P50" s="5" t="s">
        <v>152</v>
      </c>
      <c r="Q50" s="5" t="n">
        <v>9.5</v>
      </c>
      <c r="R50" s="5" t="n">
        <v>8</v>
      </c>
      <c r="S50" s="5" t="n">
        <v>7.5</v>
      </c>
      <c r="T50" s="9" t="n">
        <f aca="false">ROUND(F50*0.15 + G50*0.08 + H50*0.08 + I50*0.1 + J50*0.08 + M50*0.1 + N50*0.05 + Q50*0.15 + R50*0.12 + S50*0.09, 2)</f>
        <v>7.48</v>
      </c>
    </row>
    <row r="51" customFormat="false" ht="15" hidden="false" customHeight="false" outlineLevel="0" collapsed="false">
      <c r="A51" s="10" t="n">
        <v>48</v>
      </c>
      <c r="B51" s="11" t="s">
        <v>147</v>
      </c>
      <c r="C51" s="11" t="s">
        <v>153</v>
      </c>
      <c r="D51" s="12" t="s">
        <v>154</v>
      </c>
      <c r="E51" s="11" t="s">
        <v>155</v>
      </c>
      <c r="F51" s="10" t="n">
        <v>8</v>
      </c>
      <c r="G51" s="10" t="n">
        <v>8</v>
      </c>
      <c r="H51" s="10" t="n">
        <v>6</v>
      </c>
      <c r="I51" s="10" t="n">
        <v>8</v>
      </c>
      <c r="J51" s="10" t="n">
        <v>6</v>
      </c>
      <c r="K51" s="10" t="n">
        <v>5</v>
      </c>
      <c r="L51" s="13" t="n">
        <v>800</v>
      </c>
      <c r="M51" s="10" t="n">
        <v>6</v>
      </c>
      <c r="N51" s="10" t="n">
        <v>5</v>
      </c>
      <c r="O51" s="11" t="s">
        <v>156</v>
      </c>
      <c r="P51" s="10" t="s">
        <v>157</v>
      </c>
      <c r="Q51" s="10" t="n">
        <v>7</v>
      </c>
      <c r="R51" s="10" t="n">
        <v>8</v>
      </c>
      <c r="S51" s="10" t="n">
        <v>6.5</v>
      </c>
      <c r="T51" s="14" t="n">
        <f aca="false">ROUND(F51*0.15 + G51*0.08 + H51*0.08 + I51*0.1 + J51*0.08 + M51*0.1 + N51*0.05 + Q51*0.15 + R51*0.12 + S51*0.09, 2)</f>
        <v>7.05</v>
      </c>
    </row>
    <row r="52" customFormat="false" ht="15" hidden="false" customHeight="false" outlineLevel="0" collapsed="false">
      <c r="A52" s="5" t="n">
        <v>49</v>
      </c>
      <c r="B52" s="6" t="s">
        <v>147</v>
      </c>
      <c r="C52" s="6" t="s">
        <v>158</v>
      </c>
      <c r="D52" s="7" t="s">
        <v>159</v>
      </c>
      <c r="E52" s="6" t="s">
        <v>25</v>
      </c>
      <c r="F52" s="5" t="n">
        <v>8.5</v>
      </c>
      <c r="G52" s="5" t="n">
        <v>6</v>
      </c>
      <c r="H52" s="5" t="n">
        <v>6</v>
      </c>
      <c r="I52" s="5" t="n">
        <v>7</v>
      </c>
      <c r="J52" s="5" t="n">
        <v>8</v>
      </c>
      <c r="K52" s="5" t="n">
        <v>3</v>
      </c>
      <c r="L52" s="8" t="n">
        <v>400</v>
      </c>
      <c r="M52" s="5" t="n">
        <v>9</v>
      </c>
      <c r="N52" s="5" t="n">
        <v>8</v>
      </c>
      <c r="O52" s="6" t="s">
        <v>36</v>
      </c>
      <c r="P52" s="5" t="s">
        <v>32</v>
      </c>
      <c r="Q52" s="5" t="n">
        <v>9</v>
      </c>
      <c r="R52" s="5" t="n">
        <v>8</v>
      </c>
      <c r="S52" s="5" t="n">
        <v>8.5</v>
      </c>
      <c r="T52" s="9" t="n">
        <f aca="false">ROUND(F52*0.15 + G52*0.08 + H52*0.08 + I52*0.1 + J52*0.08 + M52*0.1 + N52*0.05 + Q52*0.15 + R52*0.12 + S52*0.09, 2)</f>
        <v>7.95</v>
      </c>
    </row>
    <row r="53" customFormat="false" ht="15" hidden="false" customHeight="false" outlineLevel="0" collapsed="false">
      <c r="A53" s="10" t="n">
        <v>50</v>
      </c>
      <c r="B53" s="11" t="s">
        <v>147</v>
      </c>
      <c r="C53" s="11" t="s">
        <v>158</v>
      </c>
      <c r="D53" s="12" t="s">
        <v>160</v>
      </c>
      <c r="E53" s="11" t="s">
        <v>161</v>
      </c>
      <c r="F53" s="10" t="n">
        <v>8</v>
      </c>
      <c r="G53" s="10" t="n">
        <v>8</v>
      </c>
      <c r="H53" s="10" t="n">
        <v>5</v>
      </c>
      <c r="I53" s="10" t="n">
        <v>7</v>
      </c>
      <c r="J53" s="10" t="n">
        <v>6</v>
      </c>
      <c r="K53" s="10" t="n">
        <v>5</v>
      </c>
      <c r="L53" s="13" t="n">
        <v>500</v>
      </c>
      <c r="M53" s="10" t="n">
        <v>8</v>
      </c>
      <c r="N53" s="10" t="n">
        <v>7</v>
      </c>
      <c r="O53" s="11" t="s">
        <v>68</v>
      </c>
      <c r="P53" s="10" t="s">
        <v>45</v>
      </c>
      <c r="Q53" s="10" t="n">
        <v>7</v>
      </c>
      <c r="R53" s="10" t="n">
        <v>7.5</v>
      </c>
      <c r="S53" s="10" t="n">
        <v>7</v>
      </c>
      <c r="T53" s="14" t="n">
        <f aca="false">ROUND(F53*0.15 + G53*0.08 + H53*0.08 + I53*0.1 + J53*0.08 + M53*0.1 + N53*0.05 + Q53*0.15 + R53*0.12 + S53*0.09, 2)</f>
        <v>7.15</v>
      </c>
    </row>
    <row r="54" customFormat="false" ht="15" hidden="false" customHeight="false" outlineLevel="0" collapsed="false">
      <c r="A54" s="5" t="n">
        <v>51</v>
      </c>
      <c r="B54" s="6" t="s">
        <v>147</v>
      </c>
      <c r="C54" s="6" t="s">
        <v>158</v>
      </c>
      <c r="D54" s="7" t="s">
        <v>162</v>
      </c>
      <c r="E54" s="6" t="s">
        <v>67</v>
      </c>
      <c r="F54" s="5" t="n">
        <v>8.2</v>
      </c>
      <c r="G54" s="5" t="n">
        <v>7</v>
      </c>
      <c r="H54" s="5" t="n">
        <v>6</v>
      </c>
      <c r="I54" s="5" t="n">
        <v>8</v>
      </c>
      <c r="J54" s="5" t="n">
        <v>7</v>
      </c>
      <c r="K54" s="5" t="n">
        <v>4</v>
      </c>
      <c r="L54" s="8" t="n">
        <v>400</v>
      </c>
      <c r="M54" s="5" t="n">
        <v>8</v>
      </c>
      <c r="N54" s="5" t="n">
        <v>6</v>
      </c>
      <c r="O54" s="6" t="s">
        <v>151</v>
      </c>
      <c r="P54" s="5" t="s">
        <v>163</v>
      </c>
      <c r="Q54" s="5" t="n">
        <v>7.5</v>
      </c>
      <c r="R54" s="5" t="n">
        <v>8</v>
      </c>
      <c r="S54" s="5" t="n">
        <v>8</v>
      </c>
      <c r="T54" s="9" t="n">
        <f aca="false">ROUND(F54*0.15 + G54*0.08 + H54*0.08 + I54*0.1 + J54*0.08 + M54*0.1 + N54*0.05 + Q54*0.15 + R54*0.12 + S54*0.09, 2)</f>
        <v>7.54</v>
      </c>
    </row>
    <row r="55" customFormat="false" ht="15" hidden="false" customHeight="false" outlineLevel="0" collapsed="false">
      <c r="A55" s="10" t="n">
        <v>52</v>
      </c>
      <c r="B55" s="11" t="s">
        <v>147</v>
      </c>
      <c r="C55" s="11" t="s">
        <v>164</v>
      </c>
      <c r="D55" s="12" t="s">
        <v>165</v>
      </c>
      <c r="E55" s="11" t="s">
        <v>166</v>
      </c>
      <c r="F55" s="10" t="n">
        <v>8</v>
      </c>
      <c r="G55" s="10" t="n">
        <v>5</v>
      </c>
      <c r="H55" s="10" t="n">
        <v>5</v>
      </c>
      <c r="I55" s="10" t="n">
        <v>7</v>
      </c>
      <c r="J55" s="10" t="n">
        <v>7</v>
      </c>
      <c r="K55" s="10" t="n">
        <v>3</v>
      </c>
      <c r="L55" s="13" t="n">
        <v>350</v>
      </c>
      <c r="M55" s="10" t="n">
        <v>6</v>
      </c>
      <c r="N55" s="10" t="n">
        <v>7</v>
      </c>
      <c r="O55" s="11" t="s">
        <v>61</v>
      </c>
      <c r="P55" s="10" t="s">
        <v>45</v>
      </c>
      <c r="Q55" s="10" t="n">
        <v>9</v>
      </c>
      <c r="R55" s="10" t="n">
        <v>6.5</v>
      </c>
      <c r="S55" s="10" t="n">
        <v>7.5</v>
      </c>
      <c r="T55" s="14" t="n">
        <f aca="false">ROUND(F55*0.15 + G55*0.08 + H55*0.08 + I55*0.1 + J55*0.08 + M55*0.1 + N55*0.05 + Q55*0.15 + R55*0.12 + S55*0.09, 2)</f>
        <v>7.02</v>
      </c>
    </row>
    <row r="56" customFormat="false" ht="15" hidden="false" customHeight="false" outlineLevel="0" collapsed="false">
      <c r="A56" s="5" t="n">
        <v>53</v>
      </c>
      <c r="B56" s="6" t="s">
        <v>147</v>
      </c>
      <c r="C56" s="6" t="s">
        <v>167</v>
      </c>
      <c r="D56" s="7" t="s">
        <v>168</v>
      </c>
      <c r="E56" s="6" t="s">
        <v>92</v>
      </c>
      <c r="F56" s="5" t="n">
        <v>8</v>
      </c>
      <c r="G56" s="5" t="n">
        <v>6</v>
      </c>
      <c r="H56" s="5" t="n">
        <v>5</v>
      </c>
      <c r="I56" s="5" t="n">
        <v>7</v>
      </c>
      <c r="J56" s="5" t="n">
        <v>7</v>
      </c>
      <c r="K56" s="5" t="n">
        <v>4</v>
      </c>
      <c r="L56" s="8" t="n">
        <v>400</v>
      </c>
      <c r="M56" s="5" t="n">
        <v>6</v>
      </c>
      <c r="N56" s="5" t="n">
        <v>6</v>
      </c>
      <c r="O56" s="6" t="s">
        <v>61</v>
      </c>
      <c r="P56" s="5" t="s">
        <v>45</v>
      </c>
      <c r="Q56" s="5" t="n">
        <v>7.5</v>
      </c>
      <c r="R56" s="5" t="n">
        <v>7</v>
      </c>
      <c r="S56" s="5" t="n">
        <v>7.5</v>
      </c>
      <c r="T56" s="9" t="n">
        <f aca="false">ROUND(F56*0.15 + G56*0.08 + H56*0.08 + I56*0.1 + J56*0.08 + M56*0.1 + N56*0.05 + Q56*0.15 + R56*0.12 + S56*0.09, 2)</f>
        <v>6.88</v>
      </c>
    </row>
    <row r="57" customFormat="false" ht="15" hidden="false" customHeight="false" outlineLevel="0" collapsed="false">
      <c r="A57" s="10" t="n">
        <v>54</v>
      </c>
      <c r="B57" s="11" t="s">
        <v>147</v>
      </c>
      <c r="C57" s="11" t="s">
        <v>169</v>
      </c>
      <c r="D57" s="12" t="s">
        <v>170</v>
      </c>
      <c r="E57" s="11" t="s">
        <v>67</v>
      </c>
      <c r="F57" s="10" t="n">
        <v>7.8</v>
      </c>
      <c r="G57" s="10" t="n">
        <v>6</v>
      </c>
      <c r="H57" s="10" t="n">
        <v>6</v>
      </c>
      <c r="I57" s="10" t="n">
        <v>7</v>
      </c>
      <c r="J57" s="10" t="n">
        <v>6</v>
      </c>
      <c r="K57" s="10" t="n">
        <v>3</v>
      </c>
      <c r="L57" s="13" t="n">
        <v>300</v>
      </c>
      <c r="M57" s="10" t="n">
        <v>5</v>
      </c>
      <c r="N57" s="10" t="n">
        <v>5</v>
      </c>
      <c r="O57" s="11" t="s">
        <v>61</v>
      </c>
      <c r="P57" s="10" t="s">
        <v>171</v>
      </c>
      <c r="Q57" s="10" t="n">
        <v>7.5</v>
      </c>
      <c r="R57" s="10" t="n">
        <v>7</v>
      </c>
      <c r="S57" s="10" t="n">
        <v>8</v>
      </c>
      <c r="T57" s="14" t="n">
        <f aca="false">ROUND(F57*0.15 + G57*0.08 + H57*0.08 + I57*0.1 + J57*0.08 + M57*0.1 + N57*0.05 + Q57*0.15 + R57*0.12 + S57*0.09, 2)</f>
        <v>6.75</v>
      </c>
    </row>
    <row r="58" customFormat="false" ht="15" hidden="false" customHeight="false" outlineLevel="0" collapsed="false">
      <c r="A58" s="5" t="n">
        <v>55</v>
      </c>
      <c r="B58" s="6" t="s">
        <v>172</v>
      </c>
      <c r="C58" s="6" t="s">
        <v>173</v>
      </c>
      <c r="D58" s="7" t="s">
        <v>174</v>
      </c>
      <c r="E58" s="6" t="s">
        <v>175</v>
      </c>
      <c r="F58" s="5" t="n">
        <v>8.3</v>
      </c>
      <c r="G58" s="5" t="n">
        <v>8</v>
      </c>
      <c r="H58" s="5" t="n">
        <v>7</v>
      </c>
      <c r="I58" s="5" t="n">
        <v>7</v>
      </c>
      <c r="J58" s="5" t="n">
        <v>7</v>
      </c>
      <c r="K58" s="5" t="n">
        <v>4</v>
      </c>
      <c r="L58" s="8" t="n">
        <v>500</v>
      </c>
      <c r="M58" s="5" t="n">
        <v>9</v>
      </c>
      <c r="N58" s="5" t="n">
        <v>5</v>
      </c>
      <c r="O58" s="6" t="s">
        <v>156</v>
      </c>
      <c r="P58" s="5" t="s">
        <v>176</v>
      </c>
      <c r="Q58" s="5" t="n">
        <v>7.5</v>
      </c>
      <c r="R58" s="5" t="n">
        <v>8</v>
      </c>
      <c r="S58" s="5" t="n">
        <v>7.5</v>
      </c>
      <c r="T58" s="9" t="n">
        <f aca="false">ROUND(F58*0.15 + G58*0.08 + H58*0.08 + I58*0.1 + J58*0.08 + M58*0.1 + N58*0.05 + Q58*0.15 + R58*0.12 + S58*0.09, 2)</f>
        <v>7.62</v>
      </c>
    </row>
    <row r="59" customFormat="false" ht="15" hidden="false" customHeight="false" outlineLevel="0" collapsed="false">
      <c r="A59" s="10" t="n">
        <v>56</v>
      </c>
      <c r="B59" s="11" t="s">
        <v>172</v>
      </c>
      <c r="C59" s="11" t="s">
        <v>177</v>
      </c>
      <c r="D59" s="12" t="s">
        <v>178</v>
      </c>
      <c r="E59" s="11" t="s">
        <v>116</v>
      </c>
      <c r="F59" s="10" t="n">
        <v>8.5</v>
      </c>
      <c r="G59" s="10" t="n">
        <v>5</v>
      </c>
      <c r="H59" s="10" t="n">
        <v>5</v>
      </c>
      <c r="I59" s="10" t="n">
        <v>7</v>
      </c>
      <c r="J59" s="10" t="n">
        <v>7</v>
      </c>
      <c r="K59" s="10" t="n">
        <v>5</v>
      </c>
      <c r="L59" s="13" t="n">
        <v>400</v>
      </c>
      <c r="M59" s="10" t="n">
        <v>5</v>
      </c>
      <c r="N59" s="10" t="n">
        <v>4</v>
      </c>
      <c r="O59" s="11" t="s">
        <v>68</v>
      </c>
      <c r="P59" s="10" t="s">
        <v>69</v>
      </c>
      <c r="Q59" s="10" t="n">
        <v>9</v>
      </c>
      <c r="R59" s="10" t="n">
        <v>7</v>
      </c>
      <c r="S59" s="10" t="n">
        <v>7.5</v>
      </c>
      <c r="T59" s="14" t="n">
        <f aca="false">ROUND(F59*0.15 + G59*0.08 + H59*0.08 + I59*0.1 + J59*0.08 + M59*0.1 + N59*0.05 + Q59*0.15 + R59*0.12 + S59*0.09, 2)</f>
        <v>6.9</v>
      </c>
    </row>
    <row r="60" customFormat="false" ht="15" hidden="false" customHeight="false" outlineLevel="0" collapsed="false">
      <c r="A60" s="5" t="n">
        <v>57</v>
      </c>
      <c r="B60" s="6" t="s">
        <v>172</v>
      </c>
      <c r="C60" s="6" t="s">
        <v>179</v>
      </c>
      <c r="D60" s="7" t="s">
        <v>180</v>
      </c>
      <c r="E60" s="6" t="s">
        <v>181</v>
      </c>
      <c r="F60" s="5" t="n">
        <v>8</v>
      </c>
      <c r="G60" s="5" t="n">
        <v>5</v>
      </c>
      <c r="H60" s="5" t="n">
        <v>4</v>
      </c>
      <c r="I60" s="5" t="n">
        <v>7</v>
      </c>
      <c r="J60" s="5" t="n">
        <v>7</v>
      </c>
      <c r="K60" s="5" t="n">
        <v>4</v>
      </c>
      <c r="L60" s="8" t="n">
        <v>400</v>
      </c>
      <c r="M60" s="5" t="n">
        <v>5</v>
      </c>
      <c r="N60" s="5" t="n">
        <v>4</v>
      </c>
      <c r="O60" s="6" t="s">
        <v>61</v>
      </c>
      <c r="P60" s="5" t="s">
        <v>64</v>
      </c>
      <c r="Q60" s="5" t="n">
        <v>8</v>
      </c>
      <c r="R60" s="5" t="n">
        <v>6.5</v>
      </c>
      <c r="S60" s="5" t="n">
        <v>7.5</v>
      </c>
      <c r="T60" s="9" t="n">
        <f aca="false">ROUND(F60*0.15 + G60*0.08 + H60*0.08 + I60*0.1 + J60*0.08 + M60*0.1 + N60*0.05 + Q60*0.15 + R60*0.12 + S60*0.09, 2)</f>
        <v>6.54</v>
      </c>
    </row>
    <row r="61" customFormat="false" ht="15" hidden="false" customHeight="false" outlineLevel="0" collapsed="false">
      <c r="A61" s="10" t="n">
        <v>58</v>
      </c>
      <c r="B61" s="11" t="s">
        <v>172</v>
      </c>
      <c r="C61" s="11" t="s">
        <v>182</v>
      </c>
      <c r="D61" s="12" t="s">
        <v>183</v>
      </c>
      <c r="E61" s="11" t="s">
        <v>184</v>
      </c>
      <c r="F61" s="10" t="n">
        <v>8.3</v>
      </c>
      <c r="G61" s="10" t="n">
        <v>6</v>
      </c>
      <c r="H61" s="10" t="n">
        <v>5</v>
      </c>
      <c r="I61" s="10" t="n">
        <v>8</v>
      </c>
      <c r="J61" s="10" t="n">
        <v>7</v>
      </c>
      <c r="K61" s="10" t="n">
        <v>5</v>
      </c>
      <c r="L61" s="13" t="n">
        <v>450</v>
      </c>
      <c r="M61" s="10" t="n">
        <v>6</v>
      </c>
      <c r="N61" s="10" t="n">
        <v>4</v>
      </c>
      <c r="O61" s="11" t="s">
        <v>68</v>
      </c>
      <c r="P61" s="10" t="s">
        <v>69</v>
      </c>
      <c r="Q61" s="10" t="n">
        <v>8.5</v>
      </c>
      <c r="R61" s="10" t="n">
        <v>7</v>
      </c>
      <c r="S61" s="10" t="n">
        <v>7</v>
      </c>
      <c r="T61" s="14" t="n">
        <f aca="false">ROUND(F61*0.15 + G61*0.08 + H61*0.08 + I61*0.1 + J61*0.08 + M61*0.1 + N61*0.05 + Q61*0.15 + R61*0.12 + S61*0.09, 2)</f>
        <v>7.03</v>
      </c>
    </row>
    <row r="62" customFormat="false" ht="15" hidden="false" customHeight="false" outlineLevel="0" collapsed="false">
      <c r="A62" s="5" t="n">
        <v>59</v>
      </c>
      <c r="B62" s="6" t="s">
        <v>172</v>
      </c>
      <c r="C62" s="6" t="s">
        <v>173</v>
      </c>
      <c r="D62" s="7" t="s">
        <v>185</v>
      </c>
      <c r="E62" s="6" t="s">
        <v>186</v>
      </c>
      <c r="F62" s="5" t="n">
        <v>9</v>
      </c>
      <c r="G62" s="5" t="n">
        <v>8</v>
      </c>
      <c r="H62" s="5" t="n">
        <v>4</v>
      </c>
      <c r="I62" s="5" t="n">
        <v>9</v>
      </c>
      <c r="J62" s="5" t="n">
        <v>7</v>
      </c>
      <c r="K62" s="5" t="n">
        <v>3</v>
      </c>
      <c r="L62" s="8" t="n">
        <v>800</v>
      </c>
      <c r="M62" s="5" t="n">
        <v>9</v>
      </c>
      <c r="N62" s="5" t="n">
        <v>2</v>
      </c>
      <c r="O62" s="6" t="s">
        <v>187</v>
      </c>
      <c r="P62" s="5" t="s">
        <v>188</v>
      </c>
      <c r="Q62" s="5" t="n">
        <v>9</v>
      </c>
      <c r="R62" s="5" t="n">
        <v>8</v>
      </c>
      <c r="S62" s="5" t="n">
        <v>6.5</v>
      </c>
      <c r="T62" s="9" t="n">
        <f aca="false">ROUND(F62*0.15 + G62*0.08 + H62*0.08 + I62*0.1 + J62*0.08 + M62*0.1 + N62*0.05 + Q62*0.15 + R62*0.12 + S62*0.09, 2)</f>
        <v>7.67</v>
      </c>
    </row>
    <row r="63" customFormat="false" ht="15" hidden="false" customHeight="false" outlineLevel="0" collapsed="false">
      <c r="A63" s="10" t="n">
        <v>60</v>
      </c>
      <c r="B63" s="11" t="s">
        <v>172</v>
      </c>
      <c r="C63" s="11" t="s">
        <v>189</v>
      </c>
      <c r="D63" s="12" t="s">
        <v>190</v>
      </c>
      <c r="E63" s="11" t="s">
        <v>67</v>
      </c>
      <c r="F63" s="10" t="n">
        <v>8.3</v>
      </c>
      <c r="G63" s="10" t="n">
        <v>6</v>
      </c>
      <c r="H63" s="10" t="n">
        <v>5</v>
      </c>
      <c r="I63" s="10" t="n">
        <v>7</v>
      </c>
      <c r="J63" s="10" t="n">
        <v>7</v>
      </c>
      <c r="K63" s="10" t="n">
        <v>3</v>
      </c>
      <c r="L63" s="13" t="n">
        <v>350</v>
      </c>
      <c r="M63" s="10" t="n">
        <v>6</v>
      </c>
      <c r="N63" s="10" t="n">
        <v>4</v>
      </c>
      <c r="O63" s="11" t="s">
        <v>68</v>
      </c>
      <c r="P63" s="10" t="s">
        <v>171</v>
      </c>
      <c r="Q63" s="10" t="n">
        <v>8.5</v>
      </c>
      <c r="R63" s="10" t="n">
        <v>7</v>
      </c>
      <c r="S63" s="10" t="n">
        <v>8</v>
      </c>
      <c r="T63" s="14" t="n">
        <f aca="false">ROUND(F63*0.15 + G63*0.08 + H63*0.08 + I63*0.1 + J63*0.08 + M63*0.1 + N63*0.05 + Q63*0.15 + R63*0.12 + S63*0.09, 2)</f>
        <v>7.02</v>
      </c>
    </row>
    <row r="64" customFormat="false" ht="15" hidden="false" customHeight="false" outlineLevel="0" collapsed="false">
      <c r="A64" s="5" t="n">
        <v>61</v>
      </c>
      <c r="B64" s="6" t="s">
        <v>191</v>
      </c>
      <c r="C64" s="6" t="s">
        <v>192</v>
      </c>
      <c r="D64" s="7" t="s">
        <v>193</v>
      </c>
      <c r="E64" s="6" t="s">
        <v>194</v>
      </c>
      <c r="F64" s="5" t="n">
        <v>8.5</v>
      </c>
      <c r="G64" s="5" t="n">
        <v>9</v>
      </c>
      <c r="H64" s="5" t="n">
        <v>6</v>
      </c>
      <c r="I64" s="5" t="n">
        <v>6</v>
      </c>
      <c r="J64" s="5" t="n">
        <v>7</v>
      </c>
      <c r="K64" s="5" t="n">
        <v>4</v>
      </c>
      <c r="L64" s="8" t="n">
        <v>700</v>
      </c>
      <c r="M64" s="5" t="n">
        <v>10</v>
      </c>
      <c r="N64" s="5" t="n">
        <v>9</v>
      </c>
      <c r="O64" s="6" t="s">
        <v>36</v>
      </c>
      <c r="P64" s="6" t="s">
        <v>195</v>
      </c>
      <c r="Q64" s="5" t="n">
        <v>7.5</v>
      </c>
      <c r="R64" s="5" t="n">
        <v>9</v>
      </c>
      <c r="S64" s="5" t="n">
        <v>7.5</v>
      </c>
      <c r="T64" s="9" t="n">
        <f aca="false">ROUND(F64*0.15 + G64*0.08 + H64*0.08 + I64*0.1 + J64*0.08 + M64*0.1 + N64*0.05 + Q64*0.15 + R64*0.12 + S64*0.09, 2)</f>
        <v>7.97</v>
      </c>
    </row>
    <row r="65" customFormat="false" ht="15" hidden="false" customHeight="false" outlineLevel="0" collapsed="false">
      <c r="A65" s="10" t="n">
        <v>62</v>
      </c>
      <c r="B65" s="11" t="s">
        <v>191</v>
      </c>
      <c r="C65" s="11" t="s">
        <v>192</v>
      </c>
      <c r="D65" s="12" t="s">
        <v>196</v>
      </c>
      <c r="E65" s="11" t="s">
        <v>197</v>
      </c>
      <c r="F65" s="10" t="n">
        <v>8.3</v>
      </c>
      <c r="G65" s="10" t="n">
        <v>9</v>
      </c>
      <c r="H65" s="10" t="n">
        <v>5</v>
      </c>
      <c r="I65" s="10" t="n">
        <v>7</v>
      </c>
      <c r="J65" s="10" t="n">
        <v>5</v>
      </c>
      <c r="K65" s="10" t="n">
        <v>5</v>
      </c>
      <c r="L65" s="13" t="n">
        <v>700</v>
      </c>
      <c r="M65" s="10" t="n">
        <v>9</v>
      </c>
      <c r="N65" s="10" t="n">
        <v>7</v>
      </c>
      <c r="O65" s="11" t="s">
        <v>26</v>
      </c>
      <c r="P65" s="10" t="s">
        <v>198</v>
      </c>
      <c r="Q65" s="10" t="n">
        <v>7</v>
      </c>
      <c r="R65" s="10" t="n">
        <v>8.5</v>
      </c>
      <c r="S65" s="10" t="n">
        <v>7</v>
      </c>
      <c r="T65" s="14" t="n">
        <f aca="false">ROUND(F65*0.15 + G65*0.08 + H65*0.08 + I65*0.1 + J65*0.08 + M65*0.1 + N65*0.05 + Q65*0.15 + R65*0.12 + S65*0.09, 2)</f>
        <v>7.42</v>
      </c>
    </row>
    <row r="66" customFormat="false" ht="15" hidden="false" customHeight="false" outlineLevel="0" collapsed="false">
      <c r="A66" s="5" t="n">
        <v>63</v>
      </c>
      <c r="B66" s="6" t="s">
        <v>191</v>
      </c>
      <c r="C66" s="6" t="s">
        <v>192</v>
      </c>
      <c r="D66" s="7" t="s">
        <v>199</v>
      </c>
      <c r="E66" s="6" t="s">
        <v>200</v>
      </c>
      <c r="F66" s="5" t="n">
        <v>8.5</v>
      </c>
      <c r="G66" s="5" t="n">
        <v>7</v>
      </c>
      <c r="H66" s="5" t="n">
        <v>6</v>
      </c>
      <c r="I66" s="5" t="n">
        <v>8</v>
      </c>
      <c r="J66" s="5" t="n">
        <v>8</v>
      </c>
      <c r="K66" s="5" t="n">
        <v>2</v>
      </c>
      <c r="L66" s="8" t="n">
        <v>700</v>
      </c>
      <c r="M66" s="5" t="n">
        <v>10</v>
      </c>
      <c r="N66" s="5" t="n">
        <v>9</v>
      </c>
      <c r="O66" s="6" t="s">
        <v>36</v>
      </c>
      <c r="P66" s="6" t="s">
        <v>195</v>
      </c>
      <c r="Q66" s="5" t="n">
        <v>8</v>
      </c>
      <c r="R66" s="5" t="n">
        <v>9</v>
      </c>
      <c r="S66" s="5" t="n">
        <v>7</v>
      </c>
      <c r="T66" s="9" t="n">
        <f aca="false">ROUND(F66*0.15 + G66*0.08 + H66*0.08 + I66*0.1 + J66*0.08 + M66*0.1 + N66*0.05 + Q66*0.15 + R66*0.12 + S66*0.09, 2)</f>
        <v>8.12</v>
      </c>
    </row>
    <row r="67" customFormat="false" ht="15" hidden="false" customHeight="false" outlineLevel="0" collapsed="false">
      <c r="A67" s="10" t="n">
        <v>64</v>
      </c>
      <c r="B67" s="11" t="s">
        <v>191</v>
      </c>
      <c r="C67" s="11" t="s">
        <v>201</v>
      </c>
      <c r="D67" s="12" t="s">
        <v>202</v>
      </c>
      <c r="E67" s="11" t="s">
        <v>203</v>
      </c>
      <c r="F67" s="10" t="n">
        <v>8.2</v>
      </c>
      <c r="G67" s="10" t="n">
        <v>7</v>
      </c>
      <c r="H67" s="10" t="n">
        <v>7</v>
      </c>
      <c r="I67" s="10" t="n">
        <v>8</v>
      </c>
      <c r="J67" s="10" t="n">
        <v>8</v>
      </c>
      <c r="K67" s="10" t="n">
        <v>4</v>
      </c>
      <c r="L67" s="13" t="n">
        <v>600</v>
      </c>
      <c r="M67" s="10" t="n">
        <v>8</v>
      </c>
      <c r="N67" s="10" t="n">
        <v>8</v>
      </c>
      <c r="O67" s="11" t="s">
        <v>26</v>
      </c>
      <c r="P67" s="10" t="s">
        <v>198</v>
      </c>
      <c r="Q67" s="10" t="n">
        <v>8</v>
      </c>
      <c r="R67" s="10" t="n">
        <v>8</v>
      </c>
      <c r="S67" s="10" t="n">
        <v>8</v>
      </c>
      <c r="T67" s="14" t="n">
        <f aca="false">ROUND(F67*0.15 + G67*0.08 + H67*0.08 + I67*0.1 + J67*0.08 + M67*0.1 + N67*0.05 + Q67*0.15 + R67*0.12 + S67*0.09, 2)</f>
        <v>7.87</v>
      </c>
    </row>
    <row r="68" customFormat="false" ht="15" hidden="false" customHeight="false" outlineLevel="0" collapsed="false">
      <c r="A68" s="5" t="n">
        <v>65</v>
      </c>
      <c r="B68" s="6" t="s">
        <v>204</v>
      </c>
      <c r="C68" s="6" t="s">
        <v>205</v>
      </c>
      <c r="D68" s="7" t="s">
        <v>206</v>
      </c>
      <c r="E68" s="6" t="s">
        <v>25</v>
      </c>
      <c r="F68" s="5" t="n">
        <v>9.3</v>
      </c>
      <c r="G68" s="5" t="n">
        <v>7</v>
      </c>
      <c r="H68" s="5" t="n">
        <v>6</v>
      </c>
      <c r="I68" s="5" t="n">
        <v>9</v>
      </c>
      <c r="J68" s="5" t="n">
        <v>9</v>
      </c>
      <c r="K68" s="5" t="n">
        <v>5</v>
      </c>
      <c r="L68" s="8" t="n">
        <v>500</v>
      </c>
      <c r="M68" s="5" t="n">
        <v>9</v>
      </c>
      <c r="N68" s="5" t="n">
        <v>7</v>
      </c>
      <c r="O68" s="6" t="s">
        <v>26</v>
      </c>
      <c r="P68" s="5" t="s">
        <v>198</v>
      </c>
      <c r="Q68" s="5" t="n">
        <v>9.5</v>
      </c>
      <c r="R68" s="5" t="n">
        <v>9</v>
      </c>
      <c r="S68" s="5" t="n">
        <v>9</v>
      </c>
      <c r="T68" s="9" t="n">
        <f aca="false">ROUND(F68*0.15 + G68*0.08 + H68*0.08 + I68*0.1 + J68*0.08 + M68*0.1 + N68*0.05 + Q68*0.15 + R68*0.12 + S68*0.09, 2)</f>
        <v>8.62</v>
      </c>
    </row>
    <row r="69" customFormat="false" ht="15" hidden="false" customHeight="false" outlineLevel="0" collapsed="false">
      <c r="A69" s="10" t="n">
        <v>66</v>
      </c>
      <c r="B69" s="11" t="s">
        <v>204</v>
      </c>
      <c r="C69" s="11" t="s">
        <v>205</v>
      </c>
      <c r="D69" s="12" t="s">
        <v>207</v>
      </c>
      <c r="E69" s="11" t="s">
        <v>25</v>
      </c>
      <c r="F69" s="10" t="n">
        <v>8.8</v>
      </c>
      <c r="G69" s="10" t="n">
        <v>7</v>
      </c>
      <c r="H69" s="10" t="n">
        <v>7</v>
      </c>
      <c r="I69" s="10" t="n">
        <v>9</v>
      </c>
      <c r="J69" s="10" t="n">
        <v>8</v>
      </c>
      <c r="K69" s="10" t="n">
        <v>4</v>
      </c>
      <c r="L69" s="13" t="n">
        <v>500</v>
      </c>
      <c r="M69" s="10" t="n">
        <v>10</v>
      </c>
      <c r="N69" s="10" t="n">
        <v>8</v>
      </c>
      <c r="O69" s="11" t="s">
        <v>36</v>
      </c>
      <c r="P69" s="10" t="s">
        <v>37</v>
      </c>
      <c r="Q69" s="10" t="n">
        <v>9</v>
      </c>
      <c r="R69" s="10" t="n">
        <v>9</v>
      </c>
      <c r="S69" s="10" t="n">
        <v>8.5</v>
      </c>
      <c r="T69" s="14" t="n">
        <f aca="false">ROUND(F69*0.15 + G69*0.08 + H69*0.08 + I69*0.1 + J69*0.08 + M69*0.1 + N69*0.05 + Q69*0.15 + R69*0.12 + S69*0.09, 2)</f>
        <v>8.58</v>
      </c>
    </row>
    <row r="70" customFormat="false" ht="15" hidden="false" customHeight="false" outlineLevel="0" collapsed="false">
      <c r="A70" s="5" t="n">
        <v>67</v>
      </c>
      <c r="B70" s="6" t="s">
        <v>204</v>
      </c>
      <c r="C70" s="6" t="s">
        <v>208</v>
      </c>
      <c r="D70" s="7" t="s">
        <v>209</v>
      </c>
      <c r="E70" s="6" t="s">
        <v>210</v>
      </c>
      <c r="F70" s="5" t="n">
        <v>9</v>
      </c>
      <c r="G70" s="5" t="n">
        <v>6</v>
      </c>
      <c r="H70" s="5" t="n">
        <v>7</v>
      </c>
      <c r="I70" s="5" t="n">
        <v>9</v>
      </c>
      <c r="J70" s="5" t="n">
        <v>9</v>
      </c>
      <c r="K70" s="5" t="n">
        <v>2</v>
      </c>
      <c r="L70" s="8" t="n">
        <v>600</v>
      </c>
      <c r="M70" s="5" t="n">
        <v>9</v>
      </c>
      <c r="N70" s="5" t="n">
        <v>8</v>
      </c>
      <c r="O70" s="6" t="s">
        <v>26</v>
      </c>
      <c r="P70" s="5" t="s">
        <v>198</v>
      </c>
      <c r="Q70" s="5" t="n">
        <v>9.5</v>
      </c>
      <c r="R70" s="5" t="n">
        <v>9</v>
      </c>
      <c r="S70" s="5" t="n">
        <v>8</v>
      </c>
      <c r="T70" s="9" t="n">
        <f aca="false">ROUND(F70*0.15 + G70*0.08 + H70*0.08 + I70*0.1 + J70*0.08 + M70*0.1 + N70*0.05 + Q70*0.15 + R70*0.12 + S70*0.09, 2)</f>
        <v>8.54</v>
      </c>
    </row>
    <row r="71" customFormat="false" ht="15" hidden="false" customHeight="false" outlineLevel="0" collapsed="false">
      <c r="A71" s="10" t="n">
        <v>68</v>
      </c>
      <c r="B71" s="11" t="s">
        <v>204</v>
      </c>
      <c r="C71" s="11" t="s">
        <v>208</v>
      </c>
      <c r="D71" s="12" t="s">
        <v>211</v>
      </c>
      <c r="E71" s="11" t="s">
        <v>203</v>
      </c>
      <c r="F71" s="10" t="n">
        <v>8.8</v>
      </c>
      <c r="G71" s="10" t="n">
        <v>7</v>
      </c>
      <c r="H71" s="10" t="n">
        <v>7</v>
      </c>
      <c r="I71" s="10" t="n">
        <v>9</v>
      </c>
      <c r="J71" s="10" t="n">
        <v>8</v>
      </c>
      <c r="K71" s="10" t="n">
        <v>5</v>
      </c>
      <c r="L71" s="13" t="n">
        <v>500</v>
      </c>
      <c r="M71" s="10" t="n">
        <v>8</v>
      </c>
      <c r="N71" s="10" t="n">
        <v>8</v>
      </c>
      <c r="O71" s="11" t="s">
        <v>26</v>
      </c>
      <c r="P71" s="10" t="s">
        <v>198</v>
      </c>
      <c r="Q71" s="10" t="n">
        <v>9</v>
      </c>
      <c r="R71" s="10" t="n">
        <v>8.5</v>
      </c>
      <c r="S71" s="10" t="n">
        <v>8</v>
      </c>
      <c r="T71" s="14" t="n">
        <f aca="false">ROUND(F71*0.15 + G71*0.08 + H71*0.08 + I71*0.1 + J71*0.08 + M71*0.1 + N71*0.05 + Q71*0.15 + R71*0.12 + S71*0.09, 2)</f>
        <v>8.27</v>
      </c>
    </row>
    <row r="72" customFormat="false" ht="15" hidden="false" customHeight="false" outlineLevel="0" collapsed="false">
      <c r="A72" s="5" t="n">
        <v>69</v>
      </c>
      <c r="B72" s="6" t="s">
        <v>204</v>
      </c>
      <c r="C72" s="6" t="s">
        <v>208</v>
      </c>
      <c r="D72" s="7" t="s">
        <v>212</v>
      </c>
      <c r="E72" s="6" t="s">
        <v>213</v>
      </c>
      <c r="F72" s="5" t="n">
        <v>8.2</v>
      </c>
      <c r="G72" s="5" t="n">
        <v>7</v>
      </c>
      <c r="H72" s="5" t="n">
        <v>7</v>
      </c>
      <c r="I72" s="5" t="n">
        <v>8</v>
      </c>
      <c r="J72" s="5" t="n">
        <v>7</v>
      </c>
      <c r="K72" s="5" t="n">
        <v>3</v>
      </c>
      <c r="L72" s="8" t="n">
        <v>600</v>
      </c>
      <c r="M72" s="5" t="n">
        <v>9</v>
      </c>
      <c r="N72" s="5" t="n">
        <v>8</v>
      </c>
      <c r="O72" s="6" t="s">
        <v>36</v>
      </c>
      <c r="P72" s="5" t="s">
        <v>37</v>
      </c>
      <c r="Q72" s="5" t="n">
        <v>7.5</v>
      </c>
      <c r="R72" s="5" t="n">
        <v>9</v>
      </c>
      <c r="S72" s="5" t="n">
        <v>8</v>
      </c>
      <c r="T72" s="9" t="n">
        <f aca="false">ROUND(F72*0.15 + G72*0.08 + H72*0.08 + I72*0.1 + J72*0.08 + M72*0.1 + N72*0.05 + Q72*0.15 + R72*0.12 + S72*0.09, 2)</f>
        <v>7.94</v>
      </c>
    </row>
    <row r="73" customFormat="false" ht="15" hidden="false" customHeight="false" outlineLevel="0" collapsed="false">
      <c r="A73" s="10" t="n">
        <v>70</v>
      </c>
      <c r="B73" s="11" t="s">
        <v>204</v>
      </c>
      <c r="C73" s="11" t="s">
        <v>208</v>
      </c>
      <c r="D73" s="12" t="s">
        <v>214</v>
      </c>
      <c r="E73" s="11" t="s">
        <v>184</v>
      </c>
      <c r="F73" s="10" t="n">
        <v>8.3</v>
      </c>
      <c r="G73" s="10" t="n">
        <v>7</v>
      </c>
      <c r="H73" s="10" t="n">
        <v>6</v>
      </c>
      <c r="I73" s="10" t="n">
        <v>8</v>
      </c>
      <c r="J73" s="10" t="n">
        <v>7</v>
      </c>
      <c r="K73" s="10" t="n">
        <v>5</v>
      </c>
      <c r="L73" s="13" t="n">
        <v>500</v>
      </c>
      <c r="M73" s="10" t="n">
        <v>8</v>
      </c>
      <c r="N73" s="10" t="n">
        <v>7</v>
      </c>
      <c r="O73" s="11" t="s">
        <v>48</v>
      </c>
      <c r="P73" s="10" t="s">
        <v>32</v>
      </c>
      <c r="Q73" s="10" t="n">
        <v>8</v>
      </c>
      <c r="R73" s="10" t="n">
        <v>8</v>
      </c>
      <c r="S73" s="10" t="n">
        <v>8</v>
      </c>
      <c r="T73" s="14" t="n">
        <f aca="false">ROUND(F73*0.15 + G73*0.08 + H73*0.08 + I73*0.1 + J73*0.08 + M73*0.1 + N73*0.05 + Q73*0.15 + R73*0.12 + S73*0.09, 2)</f>
        <v>7.68</v>
      </c>
    </row>
    <row r="74" customFormat="false" ht="15" hidden="false" customHeight="false" outlineLevel="0" collapsed="false">
      <c r="A74" s="5" t="n">
        <v>71</v>
      </c>
      <c r="B74" s="6" t="s">
        <v>204</v>
      </c>
      <c r="C74" s="6" t="s">
        <v>208</v>
      </c>
      <c r="D74" s="7" t="s">
        <v>215</v>
      </c>
      <c r="E74" s="6" t="s">
        <v>216</v>
      </c>
      <c r="F74" s="5" t="n">
        <v>8</v>
      </c>
      <c r="G74" s="5" t="n">
        <v>7</v>
      </c>
      <c r="H74" s="5" t="n">
        <v>7</v>
      </c>
      <c r="I74" s="5" t="n">
        <v>7</v>
      </c>
      <c r="J74" s="5" t="n">
        <v>6</v>
      </c>
      <c r="K74" s="5" t="n">
        <v>4</v>
      </c>
      <c r="L74" s="8" t="n">
        <v>400</v>
      </c>
      <c r="M74" s="5" t="n">
        <v>7</v>
      </c>
      <c r="N74" s="5" t="n">
        <v>7</v>
      </c>
      <c r="O74" s="6" t="s">
        <v>26</v>
      </c>
      <c r="P74" s="5" t="s">
        <v>198</v>
      </c>
      <c r="Q74" s="5" t="n">
        <v>7.5</v>
      </c>
      <c r="R74" s="5" t="n">
        <v>7.5</v>
      </c>
      <c r="S74" s="5" t="n">
        <v>8</v>
      </c>
      <c r="T74" s="9" t="n">
        <f aca="false">ROUND(F74*0.15 + G74*0.08 + H74*0.08 + I74*0.1 + J74*0.08 + M74*0.1 + N74*0.05 + Q74*0.15 + R74*0.12 + S74*0.09, 2)</f>
        <v>7.3</v>
      </c>
    </row>
    <row r="75" customFormat="false" ht="15" hidden="false" customHeight="false" outlineLevel="0" collapsed="false">
      <c r="A75" s="10" t="n">
        <v>72</v>
      </c>
      <c r="B75" s="11" t="s">
        <v>204</v>
      </c>
      <c r="C75" s="11" t="s">
        <v>217</v>
      </c>
      <c r="D75" s="12" t="s">
        <v>218</v>
      </c>
      <c r="E75" s="11" t="s">
        <v>184</v>
      </c>
      <c r="F75" s="10" t="n">
        <v>8.8</v>
      </c>
      <c r="G75" s="10" t="n">
        <v>7</v>
      </c>
      <c r="H75" s="10" t="n">
        <v>7</v>
      </c>
      <c r="I75" s="10" t="n">
        <v>9</v>
      </c>
      <c r="J75" s="10" t="n">
        <v>8</v>
      </c>
      <c r="K75" s="10" t="n">
        <v>4</v>
      </c>
      <c r="L75" s="13" t="n">
        <v>500</v>
      </c>
      <c r="M75" s="10" t="n">
        <v>9</v>
      </c>
      <c r="N75" s="10" t="n">
        <v>7</v>
      </c>
      <c r="O75" s="11" t="s">
        <v>219</v>
      </c>
      <c r="P75" s="10" t="s">
        <v>220</v>
      </c>
      <c r="Q75" s="10" t="n">
        <v>8.5</v>
      </c>
      <c r="R75" s="10" t="n">
        <v>8.5</v>
      </c>
      <c r="S75" s="10" t="n">
        <v>8</v>
      </c>
      <c r="T75" s="14" t="n">
        <f aca="false">ROUND(F75*0.15 + G75*0.08 + H75*0.08 + I75*0.1 + J75*0.08 + M75*0.1 + N75*0.05 + Q75*0.15 + R75*0.12 + S75*0.09, 2)</f>
        <v>8.25</v>
      </c>
    </row>
    <row r="76" customFormat="false" ht="15" hidden="false" customHeight="false" outlineLevel="0" collapsed="false">
      <c r="A76" s="5" t="n">
        <v>73</v>
      </c>
      <c r="B76" s="6" t="s">
        <v>204</v>
      </c>
      <c r="C76" s="6" t="s">
        <v>217</v>
      </c>
      <c r="D76" s="7" t="s">
        <v>221</v>
      </c>
      <c r="E76" s="6" t="s">
        <v>92</v>
      </c>
      <c r="F76" s="5" t="n">
        <v>8.7</v>
      </c>
      <c r="G76" s="5" t="n">
        <v>7</v>
      </c>
      <c r="H76" s="5" t="n">
        <v>6</v>
      </c>
      <c r="I76" s="5" t="n">
        <v>8</v>
      </c>
      <c r="J76" s="5" t="n">
        <v>7</v>
      </c>
      <c r="K76" s="5" t="n">
        <v>4</v>
      </c>
      <c r="L76" s="8" t="n">
        <v>500</v>
      </c>
      <c r="M76" s="5" t="n">
        <v>8</v>
      </c>
      <c r="N76" s="5" t="n">
        <v>8</v>
      </c>
      <c r="O76" s="6" t="s">
        <v>36</v>
      </c>
      <c r="P76" s="5" t="s">
        <v>37</v>
      </c>
      <c r="Q76" s="5" t="n">
        <v>8.5</v>
      </c>
      <c r="R76" s="5" t="n">
        <v>9</v>
      </c>
      <c r="S76" s="5" t="n">
        <v>7.5</v>
      </c>
      <c r="T76" s="9" t="n">
        <f aca="false">ROUND(F76*0.15 + G76*0.08 + H76*0.08 + I76*0.1 + J76*0.08 + M76*0.1 + N76*0.05 + Q76*0.15 + R76*0.12 + S76*0.09, 2)</f>
        <v>7.94</v>
      </c>
    </row>
    <row r="77" customFormat="false" ht="15" hidden="false" customHeight="false" outlineLevel="0" collapsed="false">
      <c r="A77" s="10" t="n">
        <v>74</v>
      </c>
      <c r="B77" s="11" t="s">
        <v>204</v>
      </c>
      <c r="C77" s="11" t="s">
        <v>217</v>
      </c>
      <c r="D77" s="12" t="s">
        <v>222</v>
      </c>
      <c r="E77" s="11" t="s">
        <v>161</v>
      </c>
      <c r="F77" s="10" t="n">
        <v>8</v>
      </c>
      <c r="G77" s="10" t="n">
        <v>7</v>
      </c>
      <c r="H77" s="10" t="n">
        <v>5</v>
      </c>
      <c r="I77" s="10" t="n">
        <v>7</v>
      </c>
      <c r="J77" s="10" t="n">
        <v>6</v>
      </c>
      <c r="K77" s="10" t="n">
        <v>4</v>
      </c>
      <c r="L77" s="13" t="n">
        <v>500</v>
      </c>
      <c r="M77" s="10" t="n">
        <v>8</v>
      </c>
      <c r="N77" s="10" t="n">
        <v>8</v>
      </c>
      <c r="O77" s="11" t="s">
        <v>36</v>
      </c>
      <c r="P77" s="10" t="s">
        <v>37</v>
      </c>
      <c r="Q77" s="10" t="n">
        <v>7</v>
      </c>
      <c r="R77" s="10" t="n">
        <v>8</v>
      </c>
      <c r="S77" s="10" t="n">
        <v>7.5</v>
      </c>
      <c r="T77" s="14" t="n">
        <f aca="false">ROUND(F77*0.15 + G77*0.08 + H77*0.08 + I77*0.1 + J77*0.08 + M77*0.1 + N77*0.05 + Q77*0.15 + R77*0.12 + S77*0.09, 2)</f>
        <v>7.23</v>
      </c>
    </row>
    <row r="78" customFormat="false" ht="15" hidden="false" customHeight="false" outlineLevel="0" collapsed="false">
      <c r="A78" s="5" t="n">
        <v>75</v>
      </c>
      <c r="B78" s="6" t="s">
        <v>204</v>
      </c>
      <c r="C78" s="6" t="s">
        <v>223</v>
      </c>
      <c r="D78" s="7" t="s">
        <v>224</v>
      </c>
      <c r="E78" s="6" t="s">
        <v>225</v>
      </c>
      <c r="F78" s="5" t="n">
        <v>8.5</v>
      </c>
      <c r="G78" s="5" t="n">
        <v>9</v>
      </c>
      <c r="H78" s="5" t="n">
        <v>4</v>
      </c>
      <c r="I78" s="5" t="n">
        <v>7</v>
      </c>
      <c r="J78" s="5" t="n">
        <v>5</v>
      </c>
      <c r="K78" s="5" t="n">
        <v>6</v>
      </c>
      <c r="L78" s="8" t="n">
        <v>600</v>
      </c>
      <c r="M78" s="5" t="n">
        <v>8</v>
      </c>
      <c r="N78" s="5" t="n">
        <v>7</v>
      </c>
      <c r="O78" s="6" t="s">
        <v>48</v>
      </c>
      <c r="P78" s="5" t="s">
        <v>32</v>
      </c>
      <c r="Q78" s="5" t="n">
        <v>7</v>
      </c>
      <c r="R78" s="5" t="n">
        <v>8.5</v>
      </c>
      <c r="S78" s="5" t="n">
        <v>7</v>
      </c>
      <c r="T78" s="9" t="n">
        <f aca="false">ROUND(F78*0.15 + G78*0.08 + H78*0.08 + I78*0.1 + J78*0.08 + M78*0.1 + N78*0.05 + Q78*0.15 + R78*0.12 + S78*0.09, 2)</f>
        <v>7.27</v>
      </c>
    </row>
    <row r="79" customFormat="false" ht="15" hidden="false" customHeight="false" outlineLevel="0" collapsed="false">
      <c r="A79" s="10" t="n">
        <v>76</v>
      </c>
      <c r="B79" s="11" t="s">
        <v>204</v>
      </c>
      <c r="C79" s="11" t="s">
        <v>226</v>
      </c>
      <c r="D79" s="12" t="s">
        <v>227</v>
      </c>
      <c r="E79" s="11" t="s">
        <v>210</v>
      </c>
      <c r="F79" s="10" t="n">
        <v>9</v>
      </c>
      <c r="G79" s="10" t="n">
        <v>7</v>
      </c>
      <c r="H79" s="10" t="n">
        <v>7</v>
      </c>
      <c r="I79" s="10" t="n">
        <v>9</v>
      </c>
      <c r="J79" s="10" t="n">
        <v>8</v>
      </c>
      <c r="K79" s="10" t="n">
        <v>4</v>
      </c>
      <c r="L79" s="13" t="n">
        <v>500</v>
      </c>
      <c r="M79" s="10" t="n">
        <v>8</v>
      </c>
      <c r="N79" s="10" t="n">
        <v>7</v>
      </c>
      <c r="O79" s="11" t="s">
        <v>219</v>
      </c>
      <c r="P79" s="10" t="s">
        <v>228</v>
      </c>
      <c r="Q79" s="10" t="n">
        <v>9</v>
      </c>
      <c r="R79" s="10" t="n">
        <v>8.5</v>
      </c>
      <c r="S79" s="10" t="n">
        <v>8</v>
      </c>
      <c r="T79" s="14" t="n">
        <f aca="false">ROUND(F79*0.15 + G79*0.08 + H79*0.08 + I79*0.1 + J79*0.08 + M79*0.1 + N79*0.05 + Q79*0.15 + R79*0.12 + S79*0.09, 2)</f>
        <v>8.25</v>
      </c>
    </row>
    <row r="80" customFormat="false" ht="15" hidden="false" customHeight="false" outlineLevel="0" collapsed="false">
      <c r="A80" s="5" t="n">
        <v>77</v>
      </c>
      <c r="B80" s="6" t="s">
        <v>204</v>
      </c>
      <c r="C80" s="6" t="s">
        <v>229</v>
      </c>
      <c r="D80" s="7" t="s">
        <v>230</v>
      </c>
      <c r="E80" s="6" t="s">
        <v>25</v>
      </c>
      <c r="F80" s="5" t="n">
        <v>8.3</v>
      </c>
      <c r="G80" s="5" t="n">
        <v>6</v>
      </c>
      <c r="H80" s="5" t="n">
        <v>6</v>
      </c>
      <c r="I80" s="5" t="n">
        <v>8</v>
      </c>
      <c r="J80" s="5" t="n">
        <v>7</v>
      </c>
      <c r="K80" s="5" t="n">
        <v>5</v>
      </c>
      <c r="L80" s="8" t="n">
        <v>400</v>
      </c>
      <c r="M80" s="5" t="n">
        <v>8</v>
      </c>
      <c r="N80" s="5" t="n">
        <v>7</v>
      </c>
      <c r="O80" s="6" t="s">
        <v>26</v>
      </c>
      <c r="P80" s="5" t="s">
        <v>198</v>
      </c>
      <c r="Q80" s="5" t="n">
        <v>8</v>
      </c>
      <c r="R80" s="5" t="n">
        <v>7.5</v>
      </c>
      <c r="S80" s="5" t="n">
        <v>8</v>
      </c>
      <c r="T80" s="9" t="n">
        <f aca="false">ROUND(F80*0.15 + G80*0.08 + H80*0.08 + I80*0.1 + J80*0.08 + M80*0.1 + N80*0.05 + Q80*0.15 + R80*0.12 + S80*0.09, 2)</f>
        <v>7.54</v>
      </c>
    </row>
    <row r="81" customFormat="false" ht="15" hidden="false" customHeight="false" outlineLevel="0" collapsed="false">
      <c r="A81" s="10" t="n">
        <v>78</v>
      </c>
      <c r="B81" s="11" t="s">
        <v>204</v>
      </c>
      <c r="C81" s="11" t="s">
        <v>231</v>
      </c>
      <c r="D81" s="12" t="s">
        <v>232</v>
      </c>
      <c r="E81" s="11" t="s">
        <v>233</v>
      </c>
      <c r="F81" s="10" t="n">
        <v>8</v>
      </c>
      <c r="G81" s="10" t="n">
        <v>7</v>
      </c>
      <c r="H81" s="10" t="n">
        <v>7</v>
      </c>
      <c r="I81" s="10" t="n">
        <v>7</v>
      </c>
      <c r="J81" s="10" t="n">
        <v>7</v>
      </c>
      <c r="K81" s="10" t="n">
        <v>3</v>
      </c>
      <c r="L81" s="13" t="n">
        <v>400</v>
      </c>
      <c r="M81" s="10" t="n">
        <v>8</v>
      </c>
      <c r="N81" s="10" t="n">
        <v>8</v>
      </c>
      <c r="O81" s="11" t="s">
        <v>36</v>
      </c>
      <c r="P81" s="10" t="s">
        <v>37</v>
      </c>
      <c r="Q81" s="10" t="n">
        <v>7.5</v>
      </c>
      <c r="R81" s="10" t="n">
        <v>8</v>
      </c>
      <c r="S81" s="10" t="n">
        <v>8.5</v>
      </c>
      <c r="T81" s="14" t="n">
        <f aca="false">ROUND(F81*0.15 + G81*0.08 + H81*0.08 + I81*0.1 + J81*0.08 + M81*0.1 + N81*0.05 + Q81*0.15 + R81*0.12 + S81*0.09, 2)</f>
        <v>7.63</v>
      </c>
    </row>
    <row r="82" customFormat="false" ht="15" hidden="false" customHeight="false" outlineLevel="0" collapsed="false">
      <c r="A82" s="5" t="n">
        <v>79</v>
      </c>
      <c r="B82" s="6" t="s">
        <v>204</v>
      </c>
      <c r="C82" s="6" t="s">
        <v>234</v>
      </c>
      <c r="D82" s="7" t="s">
        <v>235</v>
      </c>
      <c r="E82" s="6" t="s">
        <v>236</v>
      </c>
      <c r="F82" s="5" t="n">
        <v>8</v>
      </c>
      <c r="G82" s="5" t="n">
        <v>7</v>
      </c>
      <c r="H82" s="5" t="n">
        <v>6</v>
      </c>
      <c r="I82" s="5" t="n">
        <v>7</v>
      </c>
      <c r="J82" s="5" t="n">
        <v>6</v>
      </c>
      <c r="K82" s="5" t="n">
        <v>4</v>
      </c>
      <c r="L82" s="8" t="n">
        <v>400</v>
      </c>
      <c r="M82" s="5" t="n">
        <v>7</v>
      </c>
      <c r="N82" s="5" t="n">
        <v>6</v>
      </c>
      <c r="O82" s="6" t="s">
        <v>26</v>
      </c>
      <c r="P82" s="5" t="s">
        <v>27</v>
      </c>
      <c r="Q82" s="5" t="n">
        <v>7.5</v>
      </c>
      <c r="R82" s="5" t="n">
        <v>7.5</v>
      </c>
      <c r="S82" s="5" t="n">
        <v>8</v>
      </c>
      <c r="T82" s="9" t="n">
        <f aca="false">ROUND(F82*0.15 + G82*0.08 + H82*0.08 + I82*0.1 + J82*0.08 + M82*0.1 + N82*0.05 + Q82*0.15 + R82*0.12 + S82*0.09, 2)</f>
        <v>7.17</v>
      </c>
    </row>
    <row r="83" customFormat="false" ht="15" hidden="false" customHeight="false" outlineLevel="0" collapsed="false">
      <c r="A83" s="10" t="n">
        <v>80</v>
      </c>
      <c r="B83" s="11" t="s">
        <v>204</v>
      </c>
      <c r="C83" s="11" t="s">
        <v>237</v>
      </c>
      <c r="D83" s="12" t="s">
        <v>238</v>
      </c>
      <c r="E83" s="11" t="s">
        <v>74</v>
      </c>
      <c r="F83" s="10" t="n">
        <v>8.5</v>
      </c>
      <c r="G83" s="10" t="n">
        <v>6</v>
      </c>
      <c r="H83" s="10" t="n">
        <v>7</v>
      </c>
      <c r="I83" s="10" t="n">
        <v>7</v>
      </c>
      <c r="J83" s="10" t="n">
        <v>8</v>
      </c>
      <c r="K83" s="10" t="n">
        <v>3</v>
      </c>
      <c r="L83" s="13" t="n">
        <v>350</v>
      </c>
      <c r="M83" s="10" t="n">
        <v>8</v>
      </c>
      <c r="N83" s="10" t="n">
        <v>8</v>
      </c>
      <c r="O83" s="11" t="s">
        <v>36</v>
      </c>
      <c r="P83" s="10" t="s">
        <v>37</v>
      </c>
      <c r="Q83" s="10" t="n">
        <v>9</v>
      </c>
      <c r="R83" s="10" t="n">
        <v>8</v>
      </c>
      <c r="S83" s="10" t="n">
        <v>9</v>
      </c>
      <c r="T83" s="14" t="n">
        <f aca="false">ROUND(F83*0.15 + G83*0.08 + H83*0.08 + I83*0.1 + J83*0.08 + M83*0.1 + N83*0.05 + Q83*0.15 + R83*0.12 + S83*0.09, 2)</f>
        <v>7.98</v>
      </c>
    </row>
    <row r="84" customFormat="false" ht="15" hidden="false" customHeight="false" outlineLevel="0" collapsed="false">
      <c r="A84" s="5" t="n">
        <v>81</v>
      </c>
      <c r="B84" s="6" t="s">
        <v>204</v>
      </c>
      <c r="C84" s="6" t="s">
        <v>239</v>
      </c>
      <c r="D84" s="7" t="s">
        <v>240</v>
      </c>
      <c r="E84" s="6" t="s">
        <v>67</v>
      </c>
      <c r="F84" s="5" t="n">
        <v>8</v>
      </c>
      <c r="G84" s="5" t="n">
        <v>8</v>
      </c>
      <c r="H84" s="5" t="n">
        <v>5</v>
      </c>
      <c r="I84" s="5" t="n">
        <v>6</v>
      </c>
      <c r="J84" s="5" t="n">
        <v>6</v>
      </c>
      <c r="K84" s="5" t="n">
        <v>3</v>
      </c>
      <c r="L84" s="8" t="n">
        <v>350</v>
      </c>
      <c r="M84" s="5" t="n">
        <v>6</v>
      </c>
      <c r="N84" s="5" t="n">
        <v>6</v>
      </c>
      <c r="O84" s="6" t="s">
        <v>26</v>
      </c>
      <c r="P84" s="5" t="s">
        <v>27</v>
      </c>
      <c r="Q84" s="5" t="n">
        <v>8</v>
      </c>
      <c r="R84" s="5" t="n">
        <v>7</v>
      </c>
      <c r="S84" s="5" t="n">
        <v>8</v>
      </c>
      <c r="T84" s="9" t="n">
        <f aca="false">ROUND(F84*0.15 + G84*0.08 + H84*0.08 + I84*0.1 + J84*0.08 + M84*0.1 + N84*0.05 + Q84*0.15 + R84*0.12 + S84*0.09, 2)</f>
        <v>6.98</v>
      </c>
    </row>
    <row r="85" customFormat="false" ht="15" hidden="false" customHeight="false" outlineLevel="0" collapsed="false">
      <c r="A85" s="10" t="n">
        <v>82</v>
      </c>
      <c r="B85" s="11" t="s">
        <v>204</v>
      </c>
      <c r="C85" s="11" t="s">
        <v>241</v>
      </c>
      <c r="D85" s="12" t="s">
        <v>242</v>
      </c>
      <c r="E85" s="11" t="s">
        <v>102</v>
      </c>
      <c r="F85" s="10" t="n">
        <v>8.3</v>
      </c>
      <c r="G85" s="10" t="n">
        <v>7</v>
      </c>
      <c r="H85" s="10" t="n">
        <v>5</v>
      </c>
      <c r="I85" s="10" t="n">
        <v>7</v>
      </c>
      <c r="J85" s="10" t="n">
        <v>7</v>
      </c>
      <c r="K85" s="10" t="n">
        <v>5</v>
      </c>
      <c r="L85" s="13" t="n">
        <v>400</v>
      </c>
      <c r="M85" s="10" t="n">
        <v>7</v>
      </c>
      <c r="N85" s="10" t="n">
        <v>7</v>
      </c>
      <c r="O85" s="11" t="s">
        <v>26</v>
      </c>
      <c r="P85" s="10" t="s">
        <v>27</v>
      </c>
      <c r="Q85" s="10" t="n">
        <v>8</v>
      </c>
      <c r="R85" s="10" t="n">
        <v>7.5</v>
      </c>
      <c r="S85" s="10" t="n">
        <v>8</v>
      </c>
      <c r="T85" s="14" t="n">
        <f aca="false">ROUND(F85*0.15 + G85*0.08 + H85*0.08 + I85*0.1 + J85*0.08 + M85*0.1 + N85*0.05 + Q85*0.15 + R85*0.12 + S85*0.09, 2)</f>
        <v>7.34</v>
      </c>
    </row>
    <row r="86" customFormat="false" ht="15" hidden="false" customHeight="false" outlineLevel="0" collapsed="false">
      <c r="A86" s="5" t="n">
        <v>83</v>
      </c>
      <c r="B86" s="6" t="s">
        <v>204</v>
      </c>
      <c r="C86" s="6" t="s">
        <v>243</v>
      </c>
      <c r="D86" s="7" t="s">
        <v>244</v>
      </c>
      <c r="E86" s="6" t="s">
        <v>213</v>
      </c>
      <c r="F86" s="5" t="n">
        <v>8.2</v>
      </c>
      <c r="G86" s="5" t="n">
        <v>7</v>
      </c>
      <c r="H86" s="5" t="n">
        <v>7</v>
      </c>
      <c r="I86" s="5" t="n">
        <v>8</v>
      </c>
      <c r="J86" s="5" t="n">
        <v>7</v>
      </c>
      <c r="K86" s="5" t="n">
        <v>3</v>
      </c>
      <c r="L86" s="8" t="n">
        <v>350</v>
      </c>
      <c r="M86" s="5" t="n">
        <v>8</v>
      </c>
      <c r="N86" s="5" t="n">
        <v>8</v>
      </c>
      <c r="O86" s="6" t="s">
        <v>36</v>
      </c>
      <c r="P86" s="5" t="s">
        <v>37</v>
      </c>
      <c r="Q86" s="5" t="n">
        <v>7.5</v>
      </c>
      <c r="R86" s="5" t="n">
        <v>8</v>
      </c>
      <c r="S86" s="5" t="n">
        <v>9</v>
      </c>
      <c r="T86" s="9" t="n">
        <f aca="false">ROUND(F86*0.15 + G86*0.08 + H86*0.08 + I86*0.1 + J86*0.08 + M86*0.1 + N86*0.05 + Q86*0.15 + R86*0.12 + S86*0.09, 2)</f>
        <v>7.81</v>
      </c>
    </row>
    <row r="87" customFormat="false" ht="15" hidden="false" customHeight="false" outlineLevel="0" collapsed="false">
      <c r="A87" s="10" t="n">
        <v>84</v>
      </c>
      <c r="B87" s="11" t="s">
        <v>204</v>
      </c>
      <c r="C87" s="11" t="s">
        <v>205</v>
      </c>
      <c r="D87" s="12" t="s">
        <v>245</v>
      </c>
      <c r="E87" s="11" t="s">
        <v>92</v>
      </c>
      <c r="F87" s="10" t="n">
        <v>8.5</v>
      </c>
      <c r="G87" s="10" t="n">
        <v>6</v>
      </c>
      <c r="H87" s="10" t="n">
        <v>5</v>
      </c>
      <c r="I87" s="10" t="n">
        <v>8</v>
      </c>
      <c r="J87" s="10" t="n">
        <v>7</v>
      </c>
      <c r="K87" s="10" t="n">
        <v>4</v>
      </c>
      <c r="L87" s="13" t="n">
        <v>500</v>
      </c>
      <c r="M87" s="10" t="n">
        <v>8</v>
      </c>
      <c r="N87" s="10" t="n">
        <v>7</v>
      </c>
      <c r="O87" s="11" t="s">
        <v>26</v>
      </c>
      <c r="P87" s="10" t="s">
        <v>198</v>
      </c>
      <c r="Q87" s="10" t="n">
        <v>8.5</v>
      </c>
      <c r="R87" s="10" t="n">
        <v>8.5</v>
      </c>
      <c r="S87" s="10" t="n">
        <v>7.5</v>
      </c>
      <c r="T87" s="14" t="n">
        <f aca="false">ROUND(F87*0.15 + G87*0.08 + H87*0.08 + I87*0.1 + J87*0.08 + M87*0.1 + N87*0.05 + Q87*0.15 + R87*0.12 + S87*0.09, 2)</f>
        <v>7.64</v>
      </c>
    </row>
    <row r="88" customFormat="false" ht="15" hidden="false" customHeight="false" outlineLevel="0" collapsed="false">
      <c r="A88" s="5" t="n">
        <v>85</v>
      </c>
      <c r="B88" s="6" t="s">
        <v>204</v>
      </c>
      <c r="C88" s="6" t="s">
        <v>208</v>
      </c>
      <c r="D88" s="7" t="s">
        <v>246</v>
      </c>
      <c r="E88" s="6" t="s">
        <v>203</v>
      </c>
      <c r="F88" s="5" t="n">
        <v>8.3</v>
      </c>
      <c r="G88" s="5" t="n">
        <v>7</v>
      </c>
      <c r="H88" s="5" t="n">
        <v>7</v>
      </c>
      <c r="I88" s="5" t="n">
        <v>8</v>
      </c>
      <c r="J88" s="5" t="n">
        <v>8</v>
      </c>
      <c r="K88" s="5" t="n">
        <v>4</v>
      </c>
      <c r="L88" s="8" t="n">
        <v>450</v>
      </c>
      <c r="M88" s="5" t="n">
        <v>8</v>
      </c>
      <c r="N88" s="5" t="n">
        <v>8</v>
      </c>
      <c r="O88" s="6" t="s">
        <v>26</v>
      </c>
      <c r="P88" s="5" t="s">
        <v>198</v>
      </c>
      <c r="Q88" s="5" t="n">
        <v>8.5</v>
      </c>
      <c r="R88" s="5" t="n">
        <v>8</v>
      </c>
      <c r="S88" s="5" t="n">
        <v>8</v>
      </c>
      <c r="T88" s="9" t="n">
        <f aca="false">ROUND(F88*0.15 + G88*0.08 + H88*0.08 + I88*0.1 + J88*0.08 + M88*0.1 + N88*0.05 + Q88*0.15 + R88*0.12 + S88*0.09, 2)</f>
        <v>7.96</v>
      </c>
    </row>
    <row r="89" customFormat="false" ht="15" hidden="false" customHeight="false" outlineLevel="0" collapsed="false">
      <c r="A89" s="10" t="n">
        <v>86</v>
      </c>
      <c r="B89" s="11" t="s">
        <v>204</v>
      </c>
      <c r="C89" s="11" t="s">
        <v>223</v>
      </c>
      <c r="D89" s="12" t="s">
        <v>247</v>
      </c>
      <c r="E89" s="11" t="s">
        <v>184</v>
      </c>
      <c r="F89" s="10" t="n">
        <v>8.3</v>
      </c>
      <c r="G89" s="10" t="n">
        <v>8</v>
      </c>
      <c r="H89" s="10" t="n">
        <v>6</v>
      </c>
      <c r="I89" s="10" t="n">
        <v>8</v>
      </c>
      <c r="J89" s="10" t="n">
        <v>6</v>
      </c>
      <c r="K89" s="10" t="n">
        <v>5</v>
      </c>
      <c r="L89" s="13" t="n">
        <v>500</v>
      </c>
      <c r="M89" s="10" t="n">
        <v>7</v>
      </c>
      <c r="N89" s="10" t="n">
        <v>7</v>
      </c>
      <c r="O89" s="11" t="s">
        <v>26</v>
      </c>
      <c r="P89" s="10" t="s">
        <v>27</v>
      </c>
      <c r="Q89" s="10" t="n">
        <v>7.5</v>
      </c>
      <c r="R89" s="10" t="n">
        <v>8</v>
      </c>
      <c r="S89" s="10" t="n">
        <v>7.5</v>
      </c>
      <c r="T89" s="14" t="n">
        <f aca="false">ROUND(F89*0.15 + G89*0.08 + H89*0.08 + I89*0.1 + J89*0.08 + M89*0.1 + N89*0.05 + Q89*0.15 + R89*0.12 + S89*0.09, 2)</f>
        <v>7.46</v>
      </c>
    </row>
    <row r="90" customFormat="false" ht="15" hidden="false" customHeight="false" outlineLevel="0" collapsed="false">
      <c r="A90" s="5" t="n">
        <v>87</v>
      </c>
      <c r="B90" s="6" t="s">
        <v>204</v>
      </c>
      <c r="C90" s="6" t="s">
        <v>248</v>
      </c>
      <c r="D90" s="7" t="s">
        <v>249</v>
      </c>
      <c r="E90" s="6" t="s">
        <v>181</v>
      </c>
      <c r="F90" s="5" t="n">
        <v>8</v>
      </c>
      <c r="G90" s="5" t="n">
        <v>7</v>
      </c>
      <c r="H90" s="5" t="n">
        <v>6</v>
      </c>
      <c r="I90" s="5" t="n">
        <v>7</v>
      </c>
      <c r="J90" s="5" t="n">
        <v>7</v>
      </c>
      <c r="K90" s="5" t="n">
        <v>4</v>
      </c>
      <c r="L90" s="8" t="n">
        <v>300</v>
      </c>
      <c r="M90" s="5" t="n">
        <v>7</v>
      </c>
      <c r="N90" s="5" t="n">
        <v>6</v>
      </c>
      <c r="O90" s="6" t="s">
        <v>219</v>
      </c>
      <c r="P90" s="5" t="s">
        <v>228</v>
      </c>
      <c r="Q90" s="5" t="n">
        <v>7</v>
      </c>
      <c r="R90" s="5" t="n">
        <v>7.5</v>
      </c>
      <c r="S90" s="5" t="n">
        <v>8.5</v>
      </c>
      <c r="T90" s="9" t="n">
        <f aca="false">ROUND(F90*0.15 + G90*0.08 + H90*0.08 + I90*0.1 + J90*0.08 + M90*0.1 + N90*0.05 + Q90*0.15 + R90*0.12 + S90*0.09, 2)</f>
        <v>7.22</v>
      </c>
    </row>
    <row r="91" customFormat="false" ht="15" hidden="false" customHeight="false" outlineLevel="0" collapsed="false">
      <c r="A91" s="10" t="n">
        <v>88</v>
      </c>
      <c r="B91" s="11" t="s">
        <v>204</v>
      </c>
      <c r="C91" s="11" t="s">
        <v>205</v>
      </c>
      <c r="D91" s="12" t="s">
        <v>250</v>
      </c>
      <c r="E91" s="11" t="s">
        <v>57</v>
      </c>
      <c r="F91" s="10" t="n">
        <v>8.3</v>
      </c>
      <c r="G91" s="10" t="n">
        <v>6</v>
      </c>
      <c r="H91" s="10" t="n">
        <v>5</v>
      </c>
      <c r="I91" s="10" t="n">
        <v>8</v>
      </c>
      <c r="J91" s="10" t="n">
        <v>8</v>
      </c>
      <c r="K91" s="10" t="n">
        <v>4</v>
      </c>
      <c r="L91" s="13" t="n">
        <v>450</v>
      </c>
      <c r="M91" s="10" t="n">
        <v>8</v>
      </c>
      <c r="N91" s="10" t="n">
        <v>5</v>
      </c>
      <c r="O91" s="11" t="s">
        <v>122</v>
      </c>
      <c r="P91" s="10" t="s">
        <v>251</v>
      </c>
      <c r="Q91" s="10" t="n">
        <v>8</v>
      </c>
      <c r="R91" s="10" t="n">
        <v>7.5</v>
      </c>
      <c r="S91" s="10" t="n">
        <v>8</v>
      </c>
      <c r="T91" s="14" t="n">
        <f aca="false">ROUND(F91*0.15 + G91*0.08 + H91*0.08 + I91*0.1 + J91*0.08 + M91*0.1 + N91*0.05 + Q91*0.15 + R91*0.12 + S91*0.09, 2)</f>
        <v>7.44</v>
      </c>
    </row>
    <row r="92" customFormat="false" ht="15" hidden="false" customHeight="false" outlineLevel="0" collapsed="false">
      <c r="A92" s="5" t="n">
        <v>89</v>
      </c>
      <c r="B92" s="6" t="s">
        <v>204</v>
      </c>
      <c r="C92" s="6" t="s">
        <v>208</v>
      </c>
      <c r="D92" s="7" t="s">
        <v>252</v>
      </c>
      <c r="E92" s="6" t="s">
        <v>25</v>
      </c>
      <c r="F92" s="5" t="n">
        <v>8.5</v>
      </c>
      <c r="G92" s="5" t="n">
        <v>6</v>
      </c>
      <c r="H92" s="5" t="n">
        <v>6</v>
      </c>
      <c r="I92" s="5" t="n">
        <v>8</v>
      </c>
      <c r="J92" s="5" t="n">
        <v>8</v>
      </c>
      <c r="K92" s="5" t="n">
        <v>3</v>
      </c>
      <c r="L92" s="8" t="n">
        <v>550</v>
      </c>
      <c r="M92" s="5" t="n">
        <v>9</v>
      </c>
      <c r="N92" s="5" t="n">
        <v>8</v>
      </c>
      <c r="O92" s="6" t="s">
        <v>36</v>
      </c>
      <c r="P92" s="5" t="s">
        <v>37</v>
      </c>
      <c r="Q92" s="5" t="n">
        <v>9</v>
      </c>
      <c r="R92" s="5" t="n">
        <v>8.5</v>
      </c>
      <c r="S92" s="5" t="n">
        <v>8</v>
      </c>
      <c r="T92" s="9" t="n">
        <f aca="false">ROUND(F92*0.15 + G92*0.08 + H92*0.08 + I92*0.1 + J92*0.08 + M92*0.1 + N92*0.05 + Q92*0.15 + R92*0.12 + S92*0.09, 2)</f>
        <v>8.07</v>
      </c>
    </row>
    <row r="93" customFormat="false" ht="15" hidden="false" customHeight="false" outlineLevel="0" collapsed="false">
      <c r="A93" s="10" t="n">
        <v>90</v>
      </c>
      <c r="B93" s="11" t="s">
        <v>204</v>
      </c>
      <c r="C93" s="11" t="s">
        <v>243</v>
      </c>
      <c r="D93" s="12" t="s">
        <v>253</v>
      </c>
      <c r="E93" s="11" t="s">
        <v>25</v>
      </c>
      <c r="F93" s="10" t="n">
        <v>8</v>
      </c>
      <c r="G93" s="10" t="n">
        <v>6</v>
      </c>
      <c r="H93" s="10" t="n">
        <v>6</v>
      </c>
      <c r="I93" s="10" t="n">
        <v>7</v>
      </c>
      <c r="J93" s="10" t="n">
        <v>7</v>
      </c>
      <c r="K93" s="10" t="n">
        <v>3</v>
      </c>
      <c r="L93" s="13" t="n">
        <v>350</v>
      </c>
      <c r="M93" s="10" t="n">
        <v>8</v>
      </c>
      <c r="N93" s="10" t="n">
        <v>8</v>
      </c>
      <c r="O93" s="11" t="s">
        <v>36</v>
      </c>
      <c r="P93" s="10" t="s">
        <v>37</v>
      </c>
      <c r="Q93" s="10" t="n">
        <v>8.5</v>
      </c>
      <c r="R93" s="10" t="n">
        <v>7.5</v>
      </c>
      <c r="S93" s="10" t="n">
        <v>8.5</v>
      </c>
      <c r="T93" s="14" t="n">
        <f aca="false">ROUND(F93*0.15 + G93*0.08 + H93*0.08 + I93*0.1 + J93*0.08 + M93*0.1 + N93*0.05 + Q93*0.15 + R93*0.12 + S93*0.09, 2)</f>
        <v>7.56</v>
      </c>
    </row>
    <row r="94" customFormat="false" ht="15" hidden="false" customHeight="false" outlineLevel="0" collapsed="false">
      <c r="A94" s="5" t="n">
        <v>91</v>
      </c>
      <c r="B94" s="6" t="s">
        <v>254</v>
      </c>
      <c r="C94" s="6" t="s">
        <v>255</v>
      </c>
      <c r="D94" s="7" t="s">
        <v>256</v>
      </c>
      <c r="E94" s="6" t="s">
        <v>184</v>
      </c>
      <c r="F94" s="5" t="n">
        <v>9.5</v>
      </c>
      <c r="G94" s="5" t="n">
        <v>8</v>
      </c>
      <c r="H94" s="5" t="n">
        <v>8</v>
      </c>
      <c r="I94" s="5" t="n">
        <v>10</v>
      </c>
      <c r="J94" s="5" t="n">
        <v>9</v>
      </c>
      <c r="K94" s="5" t="n">
        <v>5</v>
      </c>
      <c r="L94" s="8" t="n">
        <v>700</v>
      </c>
      <c r="M94" s="5" t="n">
        <v>10</v>
      </c>
      <c r="N94" s="5" t="n">
        <v>8</v>
      </c>
      <c r="O94" s="6" t="s">
        <v>36</v>
      </c>
      <c r="P94" s="5" t="s">
        <v>198</v>
      </c>
      <c r="Q94" s="5" t="n">
        <v>10</v>
      </c>
      <c r="R94" s="5" t="n">
        <v>9.5</v>
      </c>
      <c r="S94" s="5" t="n">
        <v>9</v>
      </c>
      <c r="T94" s="9" t="n">
        <f aca="false">ROUND(F94*0.15 + G94*0.08 + H94*0.08 + I94*0.1 + J94*0.08 + M94*0.1 + N94*0.05 + Q94*0.15 + R94*0.12 + S94*0.09, 2)</f>
        <v>9.28</v>
      </c>
    </row>
    <row r="95" customFormat="false" ht="15" hidden="false" customHeight="false" outlineLevel="0" collapsed="false">
      <c r="A95" s="10" t="n">
        <v>92</v>
      </c>
      <c r="B95" s="11" t="s">
        <v>254</v>
      </c>
      <c r="C95" s="11" t="s">
        <v>255</v>
      </c>
      <c r="D95" s="12" t="s">
        <v>257</v>
      </c>
      <c r="E95" s="11" t="s">
        <v>184</v>
      </c>
      <c r="F95" s="10" t="n">
        <v>8.8</v>
      </c>
      <c r="G95" s="10" t="n">
        <v>7</v>
      </c>
      <c r="H95" s="10" t="n">
        <v>5</v>
      </c>
      <c r="I95" s="10" t="n">
        <v>9</v>
      </c>
      <c r="J95" s="10" t="n">
        <v>7</v>
      </c>
      <c r="K95" s="10" t="n">
        <v>6</v>
      </c>
      <c r="L95" s="13" t="n">
        <v>600</v>
      </c>
      <c r="M95" s="10" t="n">
        <v>7</v>
      </c>
      <c r="N95" s="10" t="n">
        <v>7</v>
      </c>
      <c r="O95" s="11" t="s">
        <v>48</v>
      </c>
      <c r="P95" s="10" t="s">
        <v>32</v>
      </c>
      <c r="Q95" s="10" t="n">
        <v>8.5</v>
      </c>
      <c r="R95" s="10" t="n">
        <v>8</v>
      </c>
      <c r="S95" s="10" t="n">
        <v>7.5</v>
      </c>
      <c r="T95" s="14" t="n">
        <f aca="false">ROUND(F95*0.15 + G95*0.08 + H95*0.08 + I95*0.1 + J95*0.08 + M95*0.1 + N95*0.05 + Q95*0.15 + R95*0.12 + S95*0.09, 2)</f>
        <v>7.7</v>
      </c>
    </row>
    <row r="96" customFormat="false" ht="15" hidden="false" customHeight="false" outlineLevel="0" collapsed="false">
      <c r="A96" s="5" t="n">
        <v>93</v>
      </c>
      <c r="B96" s="6" t="s">
        <v>254</v>
      </c>
      <c r="C96" s="6" t="s">
        <v>255</v>
      </c>
      <c r="D96" s="7" t="s">
        <v>258</v>
      </c>
      <c r="E96" s="6" t="s">
        <v>236</v>
      </c>
      <c r="F96" s="5" t="n">
        <v>8.5</v>
      </c>
      <c r="G96" s="5" t="n">
        <v>7</v>
      </c>
      <c r="H96" s="5" t="n">
        <v>7</v>
      </c>
      <c r="I96" s="5" t="n">
        <v>9</v>
      </c>
      <c r="J96" s="5" t="n">
        <v>8</v>
      </c>
      <c r="K96" s="5" t="n">
        <v>4</v>
      </c>
      <c r="L96" s="8" t="n">
        <v>600</v>
      </c>
      <c r="M96" s="5" t="n">
        <v>9</v>
      </c>
      <c r="N96" s="5" t="n">
        <v>7</v>
      </c>
      <c r="O96" s="6" t="s">
        <v>26</v>
      </c>
      <c r="P96" s="5" t="s">
        <v>198</v>
      </c>
      <c r="Q96" s="5" t="n">
        <v>8</v>
      </c>
      <c r="R96" s="5" t="n">
        <v>8.5</v>
      </c>
      <c r="S96" s="5" t="n">
        <v>7.5</v>
      </c>
      <c r="T96" s="9" t="n">
        <f aca="false">ROUND(F96*0.15 + G96*0.08 + H96*0.08 + I96*0.1 + J96*0.08 + M96*0.1 + N96*0.05 + Q96*0.15 + R96*0.12 + S96*0.09, 2)</f>
        <v>8.08</v>
      </c>
    </row>
    <row r="97" customFormat="false" ht="15" hidden="false" customHeight="false" outlineLevel="0" collapsed="false">
      <c r="A97" s="10" t="n">
        <v>94</v>
      </c>
      <c r="B97" s="11" t="s">
        <v>254</v>
      </c>
      <c r="C97" s="11" t="s">
        <v>255</v>
      </c>
      <c r="D97" s="12" t="s">
        <v>259</v>
      </c>
      <c r="E97" s="11" t="s">
        <v>47</v>
      </c>
      <c r="F97" s="10" t="n">
        <v>8.5</v>
      </c>
      <c r="G97" s="10" t="n">
        <v>7</v>
      </c>
      <c r="H97" s="10" t="n">
        <v>6</v>
      </c>
      <c r="I97" s="10" t="n">
        <v>8</v>
      </c>
      <c r="J97" s="10" t="n">
        <v>8</v>
      </c>
      <c r="K97" s="10" t="n">
        <v>3</v>
      </c>
      <c r="L97" s="13" t="n">
        <v>600</v>
      </c>
      <c r="M97" s="10" t="n">
        <v>8</v>
      </c>
      <c r="N97" s="10" t="n">
        <v>7</v>
      </c>
      <c r="O97" s="11" t="s">
        <v>26</v>
      </c>
      <c r="P97" s="10" t="s">
        <v>198</v>
      </c>
      <c r="Q97" s="10" t="n">
        <v>9.5</v>
      </c>
      <c r="R97" s="10" t="n">
        <v>8</v>
      </c>
      <c r="S97" s="10" t="n">
        <v>8</v>
      </c>
      <c r="T97" s="14" t="n">
        <f aca="false">ROUND(F97*0.15 + G97*0.08 + H97*0.08 + I97*0.1 + J97*0.08 + M97*0.1 + N97*0.05 + Q97*0.15 + R97*0.12 + S97*0.09, 2)</f>
        <v>8.01</v>
      </c>
    </row>
    <row r="98" customFormat="false" ht="15" hidden="false" customHeight="false" outlineLevel="0" collapsed="false">
      <c r="A98" s="5" t="n">
        <v>95</v>
      </c>
      <c r="B98" s="6" t="s">
        <v>254</v>
      </c>
      <c r="C98" s="6" t="s">
        <v>260</v>
      </c>
      <c r="D98" s="7" t="s">
        <v>261</v>
      </c>
      <c r="E98" s="6" t="s">
        <v>57</v>
      </c>
      <c r="F98" s="5" t="n">
        <v>8.5</v>
      </c>
      <c r="G98" s="5" t="n">
        <v>5</v>
      </c>
      <c r="H98" s="5" t="n">
        <v>4</v>
      </c>
      <c r="I98" s="5" t="n">
        <v>8</v>
      </c>
      <c r="J98" s="5" t="n">
        <v>8</v>
      </c>
      <c r="K98" s="5" t="n">
        <v>6</v>
      </c>
      <c r="L98" s="8" t="n">
        <v>500</v>
      </c>
      <c r="M98" s="5" t="n">
        <v>7</v>
      </c>
      <c r="N98" s="5" t="n">
        <v>7</v>
      </c>
      <c r="O98" s="6" t="s">
        <v>26</v>
      </c>
      <c r="P98" s="5" t="s">
        <v>27</v>
      </c>
      <c r="Q98" s="5" t="n">
        <v>8.5</v>
      </c>
      <c r="R98" s="5" t="n">
        <v>7.5</v>
      </c>
      <c r="S98" s="5" t="n">
        <v>7.5</v>
      </c>
      <c r="T98" s="9" t="n">
        <f aca="false">ROUND(F98*0.15 + G98*0.08 + H98*0.08 + I98*0.1 + J98*0.08 + M98*0.1 + N98*0.05 + Q98*0.15 + R98*0.12 + S98*0.09, 2)</f>
        <v>7.34</v>
      </c>
    </row>
    <row r="99" customFormat="false" ht="15" hidden="false" customHeight="false" outlineLevel="0" collapsed="false">
      <c r="A99" s="10" t="n">
        <v>96</v>
      </c>
      <c r="B99" s="11" t="s">
        <v>254</v>
      </c>
      <c r="C99" s="11" t="s">
        <v>262</v>
      </c>
      <c r="D99" s="12" t="s">
        <v>263</v>
      </c>
      <c r="E99" s="11" t="s">
        <v>92</v>
      </c>
      <c r="F99" s="10" t="n">
        <v>9</v>
      </c>
      <c r="G99" s="10" t="n">
        <v>5</v>
      </c>
      <c r="H99" s="10" t="n">
        <v>5</v>
      </c>
      <c r="I99" s="10" t="n">
        <v>8</v>
      </c>
      <c r="J99" s="10" t="n">
        <v>8</v>
      </c>
      <c r="K99" s="10" t="n">
        <v>6</v>
      </c>
      <c r="L99" s="13" t="n">
        <v>700</v>
      </c>
      <c r="M99" s="10" t="n">
        <v>7</v>
      </c>
      <c r="N99" s="10" t="n">
        <v>7</v>
      </c>
      <c r="O99" s="11" t="s">
        <v>26</v>
      </c>
      <c r="P99" s="10" t="s">
        <v>198</v>
      </c>
      <c r="Q99" s="10" t="n">
        <v>9.5</v>
      </c>
      <c r="R99" s="10" t="n">
        <v>8</v>
      </c>
      <c r="S99" s="10" t="n">
        <v>7.5</v>
      </c>
      <c r="T99" s="14" t="n">
        <f aca="false">ROUND(F99*0.15 + G99*0.08 + H99*0.08 + I99*0.1 + J99*0.08 + M99*0.1 + N99*0.05 + Q99*0.15 + R99*0.12 + S99*0.09, 2)</f>
        <v>7.7</v>
      </c>
    </row>
    <row r="100" customFormat="false" ht="15" hidden="false" customHeight="false" outlineLevel="0" collapsed="false">
      <c r="A100" s="5" t="n">
        <v>97</v>
      </c>
      <c r="B100" s="6" t="s">
        <v>254</v>
      </c>
      <c r="C100" s="6" t="s">
        <v>264</v>
      </c>
      <c r="D100" s="7" t="s">
        <v>265</v>
      </c>
      <c r="E100" s="6" t="s">
        <v>266</v>
      </c>
      <c r="F100" s="5" t="n">
        <v>8.3</v>
      </c>
      <c r="G100" s="5" t="n">
        <v>6</v>
      </c>
      <c r="H100" s="5" t="n">
        <v>6</v>
      </c>
      <c r="I100" s="5" t="n">
        <v>8</v>
      </c>
      <c r="J100" s="5" t="n">
        <v>7</v>
      </c>
      <c r="K100" s="5" t="n">
        <v>5</v>
      </c>
      <c r="L100" s="8" t="n">
        <v>500</v>
      </c>
      <c r="M100" s="5" t="n">
        <v>7</v>
      </c>
      <c r="N100" s="5" t="n">
        <v>7</v>
      </c>
      <c r="O100" s="6" t="s">
        <v>26</v>
      </c>
      <c r="P100" s="5" t="s">
        <v>198</v>
      </c>
      <c r="Q100" s="5" t="n">
        <v>8</v>
      </c>
      <c r="R100" s="5" t="n">
        <v>7.5</v>
      </c>
      <c r="S100" s="5" t="n">
        <v>7.5</v>
      </c>
      <c r="T100" s="9" t="n">
        <f aca="false">ROUND(F100*0.15 + G100*0.08 + H100*0.08 + I100*0.1 + J100*0.08 + M100*0.1 + N100*0.05 + Q100*0.15 + R100*0.12 + S100*0.09, 2)</f>
        <v>7.39</v>
      </c>
    </row>
    <row r="101" customFormat="false" ht="15" hidden="false" customHeight="false" outlineLevel="0" collapsed="false">
      <c r="A101" s="10" t="n">
        <v>98</v>
      </c>
      <c r="B101" s="11" t="s">
        <v>254</v>
      </c>
      <c r="C101" s="11" t="s">
        <v>267</v>
      </c>
      <c r="D101" s="12" t="s">
        <v>268</v>
      </c>
      <c r="E101" s="11" t="s">
        <v>74</v>
      </c>
      <c r="F101" s="10" t="n">
        <v>8.5</v>
      </c>
      <c r="G101" s="10" t="n">
        <v>6</v>
      </c>
      <c r="H101" s="10" t="n">
        <v>7</v>
      </c>
      <c r="I101" s="10" t="n">
        <v>7</v>
      </c>
      <c r="J101" s="10" t="n">
        <v>8</v>
      </c>
      <c r="K101" s="10" t="n">
        <v>3</v>
      </c>
      <c r="L101" s="13" t="n">
        <v>400</v>
      </c>
      <c r="M101" s="10" t="n">
        <v>8</v>
      </c>
      <c r="N101" s="10" t="n">
        <v>8</v>
      </c>
      <c r="O101" s="11" t="s">
        <v>36</v>
      </c>
      <c r="P101" s="10" t="s">
        <v>37</v>
      </c>
      <c r="Q101" s="10" t="n">
        <v>9</v>
      </c>
      <c r="R101" s="10" t="n">
        <v>8</v>
      </c>
      <c r="S101" s="10" t="n">
        <v>8.5</v>
      </c>
      <c r="T101" s="14" t="n">
        <f aca="false">ROUND(F101*0.15 + G101*0.08 + H101*0.08 + I101*0.1 + J101*0.08 + M101*0.1 + N101*0.05 + Q101*0.15 + R101*0.12 + S101*0.09, 2)</f>
        <v>7.93</v>
      </c>
    </row>
    <row r="102" customFormat="false" ht="15" hidden="false" customHeight="false" outlineLevel="0" collapsed="false">
      <c r="A102" s="5" t="n">
        <v>99</v>
      </c>
      <c r="B102" s="6" t="s">
        <v>254</v>
      </c>
      <c r="C102" s="6" t="s">
        <v>267</v>
      </c>
      <c r="D102" s="7" t="s">
        <v>269</v>
      </c>
      <c r="E102" s="6" t="s">
        <v>203</v>
      </c>
      <c r="F102" s="5" t="n">
        <v>9.2</v>
      </c>
      <c r="G102" s="5" t="n">
        <v>7</v>
      </c>
      <c r="H102" s="5" t="n">
        <v>7</v>
      </c>
      <c r="I102" s="5" t="n">
        <v>9</v>
      </c>
      <c r="J102" s="5" t="n">
        <v>8</v>
      </c>
      <c r="K102" s="5" t="n">
        <v>5</v>
      </c>
      <c r="L102" s="8" t="n">
        <v>600</v>
      </c>
      <c r="M102" s="5" t="n">
        <v>8</v>
      </c>
      <c r="N102" s="5" t="n">
        <v>8</v>
      </c>
      <c r="O102" s="6" t="s">
        <v>26</v>
      </c>
      <c r="P102" s="5" t="s">
        <v>198</v>
      </c>
      <c r="Q102" s="5" t="n">
        <v>9</v>
      </c>
      <c r="R102" s="5" t="n">
        <v>9</v>
      </c>
      <c r="S102" s="5" t="n">
        <v>7.5</v>
      </c>
      <c r="T102" s="9" t="n">
        <f aca="false">ROUND(F102*0.15 + G102*0.08 + H102*0.08 + I102*0.1 + J102*0.08 + M102*0.1 + N102*0.05 + Q102*0.15 + R102*0.12 + S102*0.09, 2)</f>
        <v>8.35</v>
      </c>
    </row>
    <row r="103" customFormat="false" ht="15" hidden="false" customHeight="false" outlineLevel="0" collapsed="false">
      <c r="A103" s="10" t="n">
        <v>100</v>
      </c>
      <c r="B103" s="11" t="s">
        <v>254</v>
      </c>
      <c r="C103" s="11" t="s">
        <v>270</v>
      </c>
      <c r="D103" s="12" t="s">
        <v>271</v>
      </c>
      <c r="E103" s="11" t="s">
        <v>203</v>
      </c>
      <c r="F103" s="10" t="n">
        <v>8.5</v>
      </c>
      <c r="G103" s="10" t="n">
        <v>7</v>
      </c>
      <c r="H103" s="10" t="n">
        <v>7</v>
      </c>
      <c r="I103" s="10" t="n">
        <v>8</v>
      </c>
      <c r="J103" s="10" t="n">
        <v>8</v>
      </c>
      <c r="K103" s="10" t="n">
        <v>4</v>
      </c>
      <c r="L103" s="13" t="n">
        <v>450</v>
      </c>
      <c r="M103" s="10" t="n">
        <v>7</v>
      </c>
      <c r="N103" s="10" t="n">
        <v>8</v>
      </c>
      <c r="O103" s="11" t="s">
        <v>26</v>
      </c>
      <c r="P103" s="10" t="s">
        <v>198</v>
      </c>
      <c r="Q103" s="10" t="n">
        <v>8.5</v>
      </c>
      <c r="R103" s="10" t="n">
        <v>8</v>
      </c>
      <c r="S103" s="10" t="n">
        <v>8.5</v>
      </c>
      <c r="T103" s="14" t="n">
        <f aca="false">ROUND(F103*0.15 + G103*0.08 + H103*0.08 + I103*0.1 + J103*0.08 + M103*0.1 + N103*0.05 + Q103*0.15 + R103*0.12 + S103*0.09, 2)</f>
        <v>7.94</v>
      </c>
    </row>
    <row r="104" customFormat="false" ht="15" hidden="false" customHeight="false" outlineLevel="0" collapsed="false">
      <c r="A104" s="5" t="n">
        <v>101</v>
      </c>
      <c r="B104" s="6" t="s">
        <v>254</v>
      </c>
      <c r="C104" s="6" t="s">
        <v>272</v>
      </c>
      <c r="D104" s="7" t="s">
        <v>273</v>
      </c>
      <c r="E104" s="6" t="s">
        <v>25</v>
      </c>
      <c r="F104" s="5" t="n">
        <v>8.5</v>
      </c>
      <c r="G104" s="5" t="n">
        <v>6</v>
      </c>
      <c r="H104" s="5" t="n">
        <v>7</v>
      </c>
      <c r="I104" s="5" t="n">
        <v>8</v>
      </c>
      <c r="J104" s="5" t="n">
        <v>8</v>
      </c>
      <c r="K104" s="5" t="n">
        <v>3</v>
      </c>
      <c r="L104" s="8" t="n">
        <v>400</v>
      </c>
      <c r="M104" s="5" t="n">
        <v>8</v>
      </c>
      <c r="N104" s="5" t="n">
        <v>8</v>
      </c>
      <c r="O104" s="6" t="s">
        <v>36</v>
      </c>
      <c r="P104" s="5" t="s">
        <v>37</v>
      </c>
      <c r="Q104" s="5" t="n">
        <v>9</v>
      </c>
      <c r="R104" s="5" t="n">
        <v>8</v>
      </c>
      <c r="S104" s="5" t="n">
        <v>9</v>
      </c>
      <c r="T104" s="9" t="n">
        <f aca="false">ROUND(F104*0.15 + G104*0.08 + H104*0.08 + I104*0.1 + J104*0.08 + M104*0.1 + N104*0.05 + Q104*0.15 + R104*0.12 + S104*0.09, 2)</f>
        <v>8.08</v>
      </c>
    </row>
    <row r="105" customFormat="false" ht="15" hidden="false" customHeight="false" outlineLevel="0" collapsed="false">
      <c r="A105" s="10" t="n">
        <v>102</v>
      </c>
      <c r="B105" s="11" t="s">
        <v>254</v>
      </c>
      <c r="C105" s="11" t="s">
        <v>274</v>
      </c>
      <c r="D105" s="12" t="s">
        <v>275</v>
      </c>
      <c r="E105" s="11" t="s">
        <v>161</v>
      </c>
      <c r="F105" s="10" t="n">
        <v>8.5</v>
      </c>
      <c r="G105" s="10" t="n">
        <v>8</v>
      </c>
      <c r="H105" s="10" t="n">
        <v>5</v>
      </c>
      <c r="I105" s="10" t="n">
        <v>8</v>
      </c>
      <c r="J105" s="10" t="n">
        <v>7</v>
      </c>
      <c r="K105" s="10" t="n">
        <v>8</v>
      </c>
      <c r="L105" s="13" t="n">
        <v>600</v>
      </c>
      <c r="M105" s="10" t="n">
        <v>7</v>
      </c>
      <c r="N105" s="10" t="n">
        <v>8</v>
      </c>
      <c r="O105" s="11" t="s">
        <v>36</v>
      </c>
      <c r="P105" s="10" t="s">
        <v>37</v>
      </c>
      <c r="Q105" s="10" t="n">
        <v>7.5</v>
      </c>
      <c r="R105" s="10" t="n">
        <v>8.5</v>
      </c>
      <c r="S105" s="10" t="n">
        <v>7</v>
      </c>
      <c r="T105" s="14" t="n">
        <f aca="false">ROUND(F105*0.15 + G105*0.08 + H105*0.08 + I105*0.1 + J105*0.08 + M105*0.1 + N105*0.05 + Q105*0.15 + R105*0.12 + S105*0.09, 2)</f>
        <v>7.55</v>
      </c>
    </row>
    <row r="106" customFormat="false" ht="15" hidden="false" customHeight="false" outlineLevel="0" collapsed="false">
      <c r="A106" s="5" t="n">
        <v>103</v>
      </c>
      <c r="B106" s="6" t="s">
        <v>254</v>
      </c>
      <c r="C106" s="6" t="s">
        <v>276</v>
      </c>
      <c r="D106" s="7" t="s">
        <v>277</v>
      </c>
      <c r="E106" s="6" t="s">
        <v>102</v>
      </c>
      <c r="F106" s="5" t="n">
        <v>8</v>
      </c>
      <c r="G106" s="5" t="n">
        <v>5</v>
      </c>
      <c r="H106" s="5" t="n">
        <v>4</v>
      </c>
      <c r="I106" s="5" t="n">
        <v>7</v>
      </c>
      <c r="J106" s="5" t="n">
        <v>7</v>
      </c>
      <c r="K106" s="5" t="n">
        <v>5</v>
      </c>
      <c r="L106" s="8" t="n">
        <v>400</v>
      </c>
      <c r="M106" s="5" t="n">
        <v>6</v>
      </c>
      <c r="N106" s="5" t="n">
        <v>7</v>
      </c>
      <c r="O106" s="6" t="s">
        <v>26</v>
      </c>
      <c r="P106" s="5" t="s">
        <v>27</v>
      </c>
      <c r="Q106" s="5" t="n">
        <v>8</v>
      </c>
      <c r="R106" s="5" t="n">
        <v>7</v>
      </c>
      <c r="S106" s="5" t="n">
        <v>8</v>
      </c>
      <c r="T106" s="9" t="n">
        <f aca="false">ROUND(F106*0.15 + G106*0.08 + H106*0.08 + I106*0.1 + J106*0.08 + M106*0.1 + N106*0.05 + Q106*0.15 + R106*0.12 + S106*0.09, 2)</f>
        <v>6.89</v>
      </c>
    </row>
    <row r="107" customFormat="false" ht="15" hidden="false" customHeight="false" outlineLevel="0" collapsed="false">
      <c r="A107" s="10" t="n">
        <v>104</v>
      </c>
      <c r="B107" s="11" t="s">
        <v>254</v>
      </c>
      <c r="C107" s="11" t="s">
        <v>278</v>
      </c>
      <c r="D107" s="12" t="s">
        <v>279</v>
      </c>
      <c r="E107" s="11" t="s">
        <v>92</v>
      </c>
      <c r="F107" s="10" t="n">
        <v>8.3</v>
      </c>
      <c r="G107" s="10" t="n">
        <v>5</v>
      </c>
      <c r="H107" s="10" t="n">
        <v>5</v>
      </c>
      <c r="I107" s="10" t="n">
        <v>7</v>
      </c>
      <c r="J107" s="10" t="n">
        <v>7</v>
      </c>
      <c r="K107" s="10" t="n">
        <v>5</v>
      </c>
      <c r="L107" s="13" t="n">
        <v>400</v>
      </c>
      <c r="M107" s="10" t="n">
        <v>7</v>
      </c>
      <c r="N107" s="10" t="n">
        <v>6</v>
      </c>
      <c r="O107" s="11" t="s">
        <v>26</v>
      </c>
      <c r="P107" s="10" t="s">
        <v>27</v>
      </c>
      <c r="Q107" s="10" t="n">
        <v>8</v>
      </c>
      <c r="R107" s="10" t="n">
        <v>7</v>
      </c>
      <c r="S107" s="10" t="n">
        <v>7.5</v>
      </c>
      <c r="T107" s="14" t="n">
        <f aca="false">ROUND(F107*0.15 + G107*0.08 + H107*0.08 + I107*0.1 + J107*0.08 + M107*0.1 + N107*0.05 + Q107*0.15 + R107*0.12 + S107*0.09, 2)</f>
        <v>7.02</v>
      </c>
    </row>
    <row r="108" customFormat="false" ht="15" hidden="false" customHeight="false" outlineLevel="0" collapsed="false">
      <c r="A108" s="5" t="n">
        <v>105</v>
      </c>
      <c r="B108" s="6" t="s">
        <v>254</v>
      </c>
      <c r="C108" s="6" t="s">
        <v>278</v>
      </c>
      <c r="D108" s="7" t="s">
        <v>280</v>
      </c>
      <c r="E108" s="6" t="s">
        <v>57</v>
      </c>
      <c r="F108" s="5" t="n">
        <v>8.8</v>
      </c>
      <c r="G108" s="5" t="n">
        <v>5</v>
      </c>
      <c r="H108" s="5" t="n">
        <v>4</v>
      </c>
      <c r="I108" s="5" t="n">
        <v>8</v>
      </c>
      <c r="J108" s="5" t="n">
        <v>8</v>
      </c>
      <c r="K108" s="5" t="n">
        <v>5</v>
      </c>
      <c r="L108" s="8" t="n">
        <v>450</v>
      </c>
      <c r="M108" s="5" t="n">
        <v>7</v>
      </c>
      <c r="N108" s="5" t="n">
        <v>6</v>
      </c>
      <c r="O108" s="6" t="s">
        <v>26</v>
      </c>
      <c r="P108" s="5" t="s">
        <v>27</v>
      </c>
      <c r="Q108" s="5" t="n">
        <v>8.5</v>
      </c>
      <c r="R108" s="5" t="n">
        <v>7.5</v>
      </c>
      <c r="S108" s="5" t="n">
        <v>7.5</v>
      </c>
      <c r="T108" s="9" t="n">
        <f aca="false">ROUND(F108*0.15 + G108*0.08 + H108*0.08 + I108*0.1 + J108*0.08 + M108*0.1 + N108*0.05 + Q108*0.15 + R108*0.12 + S108*0.09, 2)</f>
        <v>7.33</v>
      </c>
    </row>
    <row r="109" customFormat="false" ht="15" hidden="false" customHeight="false" outlineLevel="0" collapsed="false">
      <c r="A109" s="10" t="n">
        <v>106</v>
      </c>
      <c r="B109" s="11" t="s">
        <v>254</v>
      </c>
      <c r="C109" s="11" t="s">
        <v>281</v>
      </c>
      <c r="D109" s="12" t="s">
        <v>282</v>
      </c>
      <c r="E109" s="11" t="s">
        <v>71</v>
      </c>
      <c r="F109" s="10" t="n">
        <v>8.3</v>
      </c>
      <c r="G109" s="10" t="n">
        <v>5</v>
      </c>
      <c r="H109" s="10" t="n">
        <v>5</v>
      </c>
      <c r="I109" s="10" t="n">
        <v>8</v>
      </c>
      <c r="J109" s="10" t="n">
        <v>8</v>
      </c>
      <c r="K109" s="10" t="n">
        <v>4</v>
      </c>
      <c r="L109" s="13" t="n">
        <v>400</v>
      </c>
      <c r="M109" s="10" t="n">
        <v>6</v>
      </c>
      <c r="N109" s="10" t="n">
        <v>7</v>
      </c>
      <c r="O109" s="11" t="s">
        <v>26</v>
      </c>
      <c r="P109" s="10" t="s">
        <v>27</v>
      </c>
      <c r="Q109" s="10" t="n">
        <v>8</v>
      </c>
      <c r="R109" s="10" t="n">
        <v>7</v>
      </c>
      <c r="S109" s="10" t="n">
        <v>8</v>
      </c>
      <c r="T109" s="14" t="n">
        <f aca="false">ROUND(F109*0.15 + G109*0.08 + H109*0.08 + I109*0.1 + J109*0.08 + M109*0.1 + N109*0.05 + Q109*0.15 + R109*0.12 + S109*0.09, 2)</f>
        <v>7.2</v>
      </c>
    </row>
    <row r="110" customFormat="false" ht="15" hidden="false" customHeight="false" outlineLevel="0" collapsed="false">
      <c r="A110" s="5" t="n">
        <v>107</v>
      </c>
      <c r="B110" s="6" t="s">
        <v>254</v>
      </c>
      <c r="C110" s="6" t="s">
        <v>264</v>
      </c>
      <c r="D110" s="7" t="s">
        <v>283</v>
      </c>
      <c r="E110" s="6" t="s">
        <v>25</v>
      </c>
      <c r="F110" s="5" t="n">
        <v>8.3</v>
      </c>
      <c r="G110" s="5" t="n">
        <v>6</v>
      </c>
      <c r="H110" s="5" t="n">
        <v>7</v>
      </c>
      <c r="I110" s="5" t="n">
        <v>8</v>
      </c>
      <c r="J110" s="5" t="n">
        <v>8</v>
      </c>
      <c r="K110" s="5" t="n">
        <v>3</v>
      </c>
      <c r="L110" s="8" t="n">
        <v>500</v>
      </c>
      <c r="M110" s="5" t="n">
        <v>9</v>
      </c>
      <c r="N110" s="5" t="n">
        <v>8</v>
      </c>
      <c r="O110" s="6" t="s">
        <v>36</v>
      </c>
      <c r="P110" s="5" t="s">
        <v>37</v>
      </c>
      <c r="Q110" s="5" t="n">
        <v>8.5</v>
      </c>
      <c r="R110" s="5" t="n">
        <v>8</v>
      </c>
      <c r="S110" s="5" t="n">
        <v>8.5</v>
      </c>
      <c r="T110" s="9" t="n">
        <f aca="false">ROUND(F110*0.15 + G110*0.08 + H110*0.08 + I110*0.1 + J110*0.08 + M110*0.1 + N110*0.05 + Q110*0.15 + R110*0.12 + S110*0.09, 2)</f>
        <v>8.03</v>
      </c>
    </row>
    <row r="111" customFormat="false" ht="15" hidden="false" customHeight="false" outlineLevel="0" collapsed="false">
      <c r="A111" s="10" t="n">
        <v>108</v>
      </c>
      <c r="B111" s="11" t="s">
        <v>254</v>
      </c>
      <c r="C111" s="11" t="s">
        <v>270</v>
      </c>
      <c r="D111" s="12" t="s">
        <v>284</v>
      </c>
      <c r="E111" s="11" t="s">
        <v>71</v>
      </c>
      <c r="F111" s="10" t="n">
        <v>8.5</v>
      </c>
      <c r="G111" s="10" t="n">
        <v>6</v>
      </c>
      <c r="H111" s="10" t="n">
        <v>5</v>
      </c>
      <c r="I111" s="10" t="n">
        <v>9</v>
      </c>
      <c r="J111" s="10" t="n">
        <v>7</v>
      </c>
      <c r="K111" s="10" t="n">
        <v>5</v>
      </c>
      <c r="L111" s="13" t="n">
        <v>800</v>
      </c>
      <c r="M111" s="10" t="n">
        <v>7</v>
      </c>
      <c r="N111" s="10" t="n">
        <v>7</v>
      </c>
      <c r="O111" s="11" t="s">
        <v>61</v>
      </c>
      <c r="P111" s="10" t="s">
        <v>45</v>
      </c>
      <c r="Q111" s="10" t="n">
        <v>8</v>
      </c>
      <c r="R111" s="10" t="n">
        <v>8</v>
      </c>
      <c r="S111" s="10" t="n">
        <v>7</v>
      </c>
      <c r="T111" s="14" t="n">
        <f aca="false">ROUND(F111*0.15 + G111*0.08 + H111*0.08 + I111*0.1 + J111*0.08 + M111*0.1 + N111*0.05 + Q111*0.15 + R111*0.12 + S111*0.09, 2)</f>
        <v>7.46</v>
      </c>
    </row>
    <row r="112" customFormat="false" ht="15" hidden="false" customHeight="false" outlineLevel="0" collapsed="false">
      <c r="A112" s="5" t="n">
        <v>109</v>
      </c>
      <c r="B112" s="6" t="s">
        <v>254</v>
      </c>
      <c r="C112" s="6" t="s">
        <v>274</v>
      </c>
      <c r="D112" s="7" t="s">
        <v>285</v>
      </c>
      <c r="E112" s="6" t="s">
        <v>80</v>
      </c>
      <c r="F112" s="5" t="n">
        <v>8</v>
      </c>
      <c r="G112" s="5" t="n">
        <v>6</v>
      </c>
      <c r="H112" s="5" t="n">
        <v>5</v>
      </c>
      <c r="I112" s="5" t="n">
        <v>7</v>
      </c>
      <c r="J112" s="5" t="n">
        <v>7</v>
      </c>
      <c r="K112" s="5" t="n">
        <v>4</v>
      </c>
      <c r="L112" s="8" t="n">
        <v>400</v>
      </c>
      <c r="M112" s="5" t="n">
        <v>7</v>
      </c>
      <c r="N112" s="5" t="n">
        <v>7</v>
      </c>
      <c r="O112" s="6" t="s">
        <v>26</v>
      </c>
      <c r="P112" s="5" t="s">
        <v>27</v>
      </c>
      <c r="Q112" s="5" t="n">
        <v>7.5</v>
      </c>
      <c r="R112" s="5" t="n">
        <v>7</v>
      </c>
      <c r="S112" s="5" t="n">
        <v>8</v>
      </c>
      <c r="T112" s="9" t="n">
        <f aca="false">ROUND(F112*0.15 + G112*0.08 + H112*0.08 + I112*0.1 + J112*0.08 + M112*0.1 + N112*0.05 + Q112*0.15 + R112*0.12 + S112*0.09, 2)</f>
        <v>7.08</v>
      </c>
    </row>
    <row r="113" customFormat="false" ht="15" hidden="false" customHeight="false" outlineLevel="0" collapsed="false">
      <c r="A113" s="10" t="n">
        <v>110</v>
      </c>
      <c r="B113" s="11" t="s">
        <v>254</v>
      </c>
      <c r="C113" s="11" t="s">
        <v>255</v>
      </c>
      <c r="D113" s="12" t="s">
        <v>286</v>
      </c>
      <c r="E113" s="11" t="s">
        <v>71</v>
      </c>
      <c r="F113" s="10" t="n">
        <v>8.5</v>
      </c>
      <c r="G113" s="10" t="n">
        <v>6</v>
      </c>
      <c r="H113" s="10" t="n">
        <v>5</v>
      </c>
      <c r="I113" s="10" t="n">
        <v>9</v>
      </c>
      <c r="J113" s="10" t="n">
        <v>7</v>
      </c>
      <c r="K113" s="10" t="n">
        <v>5</v>
      </c>
      <c r="L113" s="13" t="n">
        <v>600</v>
      </c>
      <c r="M113" s="10" t="n">
        <v>7</v>
      </c>
      <c r="N113" s="10" t="n">
        <v>7</v>
      </c>
      <c r="O113" s="11" t="s">
        <v>26</v>
      </c>
      <c r="P113" s="10" t="s">
        <v>287</v>
      </c>
      <c r="Q113" s="10" t="n">
        <v>8.5</v>
      </c>
      <c r="R113" s="10" t="n">
        <v>7.5</v>
      </c>
      <c r="S113" s="10" t="n">
        <v>7.5</v>
      </c>
      <c r="T113" s="14" t="n">
        <f aca="false">ROUND(F113*0.15 + G113*0.08 + H113*0.08 + I113*0.1 + J113*0.08 + M113*0.1 + N113*0.05 + Q113*0.15 + R113*0.12 + S113*0.09, 2)</f>
        <v>7.52</v>
      </c>
    </row>
    <row r="114" customFormat="false" ht="15" hidden="false" customHeight="false" outlineLevel="0" collapsed="false">
      <c r="A114" s="5" t="n">
        <v>111</v>
      </c>
      <c r="B114" s="6" t="s">
        <v>254</v>
      </c>
      <c r="C114" s="6" t="s">
        <v>260</v>
      </c>
      <c r="D114" s="7" t="s">
        <v>288</v>
      </c>
      <c r="E114" s="6" t="s">
        <v>266</v>
      </c>
      <c r="F114" s="5" t="n">
        <v>8</v>
      </c>
      <c r="G114" s="5" t="n">
        <v>5</v>
      </c>
      <c r="H114" s="5" t="n">
        <v>5</v>
      </c>
      <c r="I114" s="5" t="n">
        <v>7</v>
      </c>
      <c r="J114" s="5" t="n">
        <v>7</v>
      </c>
      <c r="K114" s="5" t="n">
        <v>4</v>
      </c>
      <c r="L114" s="8" t="n">
        <v>400</v>
      </c>
      <c r="M114" s="5" t="n">
        <v>6</v>
      </c>
      <c r="N114" s="5" t="n">
        <v>7</v>
      </c>
      <c r="O114" s="6" t="s">
        <v>26</v>
      </c>
      <c r="P114" s="5" t="s">
        <v>27</v>
      </c>
      <c r="Q114" s="5" t="n">
        <v>8</v>
      </c>
      <c r="R114" s="5" t="n">
        <v>7</v>
      </c>
      <c r="S114" s="5" t="n">
        <v>7.5</v>
      </c>
      <c r="T114" s="9" t="n">
        <f aca="false">ROUND(F114*0.15 + G114*0.08 + H114*0.08 + I114*0.1 + J114*0.08 + M114*0.1 + N114*0.05 + Q114*0.15 + R114*0.12 + S114*0.09, 2)</f>
        <v>6.93</v>
      </c>
    </row>
    <row r="115" customFormat="false" ht="15" hidden="false" customHeight="false" outlineLevel="0" collapsed="false">
      <c r="A115" s="10" t="n">
        <v>112</v>
      </c>
      <c r="B115" s="11" t="s">
        <v>254</v>
      </c>
      <c r="C115" s="11" t="s">
        <v>272</v>
      </c>
      <c r="D115" s="12" t="s">
        <v>289</v>
      </c>
      <c r="E115" s="11" t="s">
        <v>102</v>
      </c>
      <c r="F115" s="10" t="n">
        <v>8</v>
      </c>
      <c r="G115" s="10" t="n">
        <v>5</v>
      </c>
      <c r="H115" s="10" t="n">
        <v>5</v>
      </c>
      <c r="I115" s="10" t="n">
        <v>7</v>
      </c>
      <c r="J115" s="10" t="n">
        <v>7</v>
      </c>
      <c r="K115" s="10" t="n">
        <v>4</v>
      </c>
      <c r="L115" s="13" t="n">
        <v>400</v>
      </c>
      <c r="M115" s="10" t="n">
        <v>7</v>
      </c>
      <c r="N115" s="10" t="n">
        <v>7</v>
      </c>
      <c r="O115" s="11" t="s">
        <v>26</v>
      </c>
      <c r="P115" s="10" t="s">
        <v>287</v>
      </c>
      <c r="Q115" s="10" t="n">
        <v>8</v>
      </c>
      <c r="R115" s="10" t="n">
        <v>7</v>
      </c>
      <c r="S115" s="10" t="n">
        <v>7.5</v>
      </c>
      <c r="T115" s="14" t="n">
        <f aca="false">ROUND(F115*0.15 + G115*0.08 + H115*0.08 + I115*0.1 + J115*0.08 + M115*0.1 + N115*0.05 + Q115*0.15 + R115*0.12 + S115*0.09, 2)</f>
        <v>7.03</v>
      </c>
    </row>
    <row r="116" customFormat="false" ht="15" hidden="false" customHeight="false" outlineLevel="0" collapsed="false">
      <c r="A116" s="5" t="n">
        <v>113</v>
      </c>
      <c r="B116" s="6" t="s">
        <v>290</v>
      </c>
      <c r="C116" s="6" t="s">
        <v>291</v>
      </c>
      <c r="D116" s="7" t="s">
        <v>292</v>
      </c>
      <c r="E116" s="6" t="s">
        <v>57</v>
      </c>
      <c r="F116" s="5" t="n">
        <v>9.5</v>
      </c>
      <c r="G116" s="5" t="n">
        <v>4</v>
      </c>
      <c r="H116" s="5" t="n">
        <v>3</v>
      </c>
      <c r="I116" s="5" t="n">
        <v>9</v>
      </c>
      <c r="J116" s="5" t="n">
        <v>8</v>
      </c>
      <c r="K116" s="5" t="n">
        <v>8</v>
      </c>
      <c r="L116" s="8" t="n">
        <v>800</v>
      </c>
      <c r="M116" s="5" t="n">
        <v>7</v>
      </c>
      <c r="N116" s="5" t="n">
        <v>6</v>
      </c>
      <c r="O116" s="6" t="s">
        <v>26</v>
      </c>
      <c r="P116" s="5" t="s">
        <v>293</v>
      </c>
      <c r="Q116" s="5" t="n">
        <v>10</v>
      </c>
      <c r="R116" s="5" t="n">
        <v>8</v>
      </c>
      <c r="S116" s="5" t="n">
        <v>7.5</v>
      </c>
      <c r="T116" s="9" t="n">
        <f aca="false">ROUND(F116*0.15 + G116*0.08 + H116*0.08 + I116*0.1 + J116*0.08 + M116*0.1 + N116*0.05 + Q116*0.15 + R116*0.12 + S116*0.09, 2)</f>
        <v>7.66</v>
      </c>
    </row>
    <row r="117" customFormat="false" ht="15" hidden="false" customHeight="false" outlineLevel="0" collapsed="false">
      <c r="A117" s="10" t="n">
        <v>114</v>
      </c>
      <c r="B117" s="11" t="s">
        <v>290</v>
      </c>
      <c r="C117" s="11" t="s">
        <v>294</v>
      </c>
      <c r="D117" s="12" t="s">
        <v>295</v>
      </c>
      <c r="E117" s="11" t="s">
        <v>92</v>
      </c>
      <c r="F117" s="10" t="n">
        <v>9</v>
      </c>
      <c r="G117" s="10" t="n">
        <v>5</v>
      </c>
      <c r="H117" s="10" t="n">
        <v>4</v>
      </c>
      <c r="I117" s="10" t="n">
        <v>8</v>
      </c>
      <c r="J117" s="10" t="n">
        <v>8</v>
      </c>
      <c r="K117" s="10" t="n">
        <v>6</v>
      </c>
      <c r="L117" s="13" t="n">
        <v>600</v>
      </c>
      <c r="M117" s="10" t="n">
        <v>7</v>
      </c>
      <c r="N117" s="10" t="n">
        <v>6</v>
      </c>
      <c r="O117" s="11" t="s">
        <v>26</v>
      </c>
      <c r="P117" s="10" t="s">
        <v>198</v>
      </c>
      <c r="Q117" s="10" t="n">
        <v>9.5</v>
      </c>
      <c r="R117" s="10" t="n">
        <v>8</v>
      </c>
      <c r="S117" s="10" t="n">
        <v>7.5</v>
      </c>
      <c r="T117" s="14" t="n">
        <f aca="false">ROUND(F117*0.15 + G117*0.08 + H117*0.08 + I117*0.1 + J117*0.08 + M117*0.1 + N117*0.05 + Q117*0.15 + R117*0.12 + S117*0.09, 2)</f>
        <v>7.57</v>
      </c>
    </row>
    <row r="118" customFormat="false" ht="15" hidden="false" customHeight="false" outlineLevel="0" collapsed="false">
      <c r="A118" s="5" t="n">
        <v>115</v>
      </c>
      <c r="B118" s="6" t="s">
        <v>290</v>
      </c>
      <c r="C118" s="6" t="s">
        <v>296</v>
      </c>
      <c r="D118" s="7" t="s">
        <v>297</v>
      </c>
      <c r="E118" s="6" t="s">
        <v>57</v>
      </c>
      <c r="F118" s="5" t="n">
        <v>8.5</v>
      </c>
      <c r="G118" s="5" t="n">
        <v>5</v>
      </c>
      <c r="H118" s="5" t="n">
        <v>4</v>
      </c>
      <c r="I118" s="5" t="n">
        <v>8</v>
      </c>
      <c r="J118" s="5" t="n">
        <v>7</v>
      </c>
      <c r="K118" s="5" t="n">
        <v>6</v>
      </c>
      <c r="L118" s="8" t="n">
        <v>450</v>
      </c>
      <c r="M118" s="5" t="n">
        <v>7</v>
      </c>
      <c r="N118" s="5" t="n">
        <v>6</v>
      </c>
      <c r="O118" s="6" t="s">
        <v>26</v>
      </c>
      <c r="P118" s="5" t="s">
        <v>27</v>
      </c>
      <c r="Q118" s="5" t="n">
        <v>8</v>
      </c>
      <c r="R118" s="5" t="n">
        <v>7.5</v>
      </c>
      <c r="S118" s="5" t="n">
        <v>7.5</v>
      </c>
      <c r="T118" s="9" t="n">
        <f aca="false">ROUND(F118*0.15 + G118*0.08 + H118*0.08 + I118*0.1 + J118*0.08 + M118*0.1 + N118*0.05 + Q118*0.15 + R118*0.12 + S118*0.09, 2)</f>
        <v>7.13</v>
      </c>
    </row>
    <row r="119" customFormat="false" ht="15" hidden="false" customHeight="false" outlineLevel="0" collapsed="false">
      <c r="A119" s="10" t="n">
        <v>116</v>
      </c>
      <c r="B119" s="11" t="s">
        <v>290</v>
      </c>
      <c r="C119" s="11" t="s">
        <v>291</v>
      </c>
      <c r="D119" s="12" t="s">
        <v>298</v>
      </c>
      <c r="E119" s="11" t="s">
        <v>299</v>
      </c>
      <c r="F119" s="10" t="n">
        <v>9</v>
      </c>
      <c r="G119" s="10" t="n">
        <v>6</v>
      </c>
      <c r="H119" s="10" t="n">
        <v>6</v>
      </c>
      <c r="I119" s="10" t="n">
        <v>9</v>
      </c>
      <c r="J119" s="10" t="n">
        <v>9</v>
      </c>
      <c r="K119" s="10" t="n">
        <v>5</v>
      </c>
      <c r="L119" s="13" t="n">
        <v>500</v>
      </c>
      <c r="M119" s="10" t="n">
        <v>7</v>
      </c>
      <c r="N119" s="10" t="n">
        <v>7</v>
      </c>
      <c r="O119" s="11" t="s">
        <v>26</v>
      </c>
      <c r="P119" s="10" t="s">
        <v>198</v>
      </c>
      <c r="Q119" s="10" t="n">
        <v>9.5</v>
      </c>
      <c r="R119" s="10" t="n">
        <v>8</v>
      </c>
      <c r="S119" s="10" t="n">
        <v>8</v>
      </c>
      <c r="T119" s="14" t="n">
        <f aca="false">ROUND(F119*0.15 + G119*0.08 + H119*0.08 + I119*0.1 + J119*0.08 + M119*0.1 + N119*0.05 + Q119*0.15 + R119*0.12 + S119*0.09, 2)</f>
        <v>8.09</v>
      </c>
    </row>
    <row r="120" customFormat="false" ht="15" hidden="false" customHeight="false" outlineLevel="0" collapsed="false">
      <c r="A120" s="5" t="n">
        <v>117</v>
      </c>
      <c r="B120" s="6" t="s">
        <v>290</v>
      </c>
      <c r="C120" s="6" t="s">
        <v>291</v>
      </c>
      <c r="D120" s="7" t="s">
        <v>300</v>
      </c>
      <c r="E120" s="6" t="s">
        <v>25</v>
      </c>
      <c r="F120" s="5" t="n">
        <v>8.5</v>
      </c>
      <c r="G120" s="5" t="n">
        <v>6</v>
      </c>
      <c r="H120" s="5" t="n">
        <v>6</v>
      </c>
      <c r="I120" s="5" t="n">
        <v>8</v>
      </c>
      <c r="J120" s="5" t="n">
        <v>8</v>
      </c>
      <c r="K120" s="5" t="n">
        <v>5</v>
      </c>
      <c r="L120" s="8" t="n">
        <v>500</v>
      </c>
      <c r="M120" s="5" t="n">
        <v>7</v>
      </c>
      <c r="N120" s="5" t="n">
        <v>7</v>
      </c>
      <c r="O120" s="6" t="s">
        <v>26</v>
      </c>
      <c r="P120" s="5" t="s">
        <v>198</v>
      </c>
      <c r="Q120" s="5" t="n">
        <v>9</v>
      </c>
      <c r="R120" s="5" t="n">
        <v>7.5</v>
      </c>
      <c r="S120" s="5" t="n">
        <v>8</v>
      </c>
      <c r="T120" s="9" t="n">
        <f aca="false">ROUND(F120*0.15 + G120*0.08 + H120*0.08 + I120*0.1 + J120*0.08 + M120*0.1 + N120*0.05 + Q120*0.15 + R120*0.12 + S120*0.09, 2)</f>
        <v>7.7</v>
      </c>
    </row>
    <row r="121" customFormat="false" ht="15" hidden="false" customHeight="false" outlineLevel="0" collapsed="false">
      <c r="A121" s="10" t="n">
        <v>118</v>
      </c>
      <c r="B121" s="11" t="s">
        <v>290</v>
      </c>
      <c r="C121" s="11" t="s">
        <v>301</v>
      </c>
      <c r="D121" s="12" t="s">
        <v>302</v>
      </c>
      <c r="E121" s="11" t="s">
        <v>71</v>
      </c>
      <c r="F121" s="10" t="n">
        <v>8.3</v>
      </c>
      <c r="G121" s="10" t="n">
        <v>5</v>
      </c>
      <c r="H121" s="10" t="n">
        <v>4</v>
      </c>
      <c r="I121" s="10" t="n">
        <v>7</v>
      </c>
      <c r="J121" s="10" t="n">
        <v>7</v>
      </c>
      <c r="K121" s="10" t="n">
        <v>5</v>
      </c>
      <c r="L121" s="13" t="n">
        <v>400</v>
      </c>
      <c r="M121" s="10" t="n">
        <v>6</v>
      </c>
      <c r="N121" s="10" t="n">
        <v>6</v>
      </c>
      <c r="O121" s="11" t="s">
        <v>61</v>
      </c>
      <c r="P121" s="10" t="s">
        <v>45</v>
      </c>
      <c r="Q121" s="10" t="n">
        <v>8</v>
      </c>
      <c r="R121" s="10" t="n">
        <v>7</v>
      </c>
      <c r="S121" s="10" t="n">
        <v>7.5</v>
      </c>
      <c r="T121" s="14" t="n">
        <f aca="false">ROUND(F121*0.15 + G121*0.08 + H121*0.08 + I121*0.1 + J121*0.08 + M121*0.1 + N121*0.05 + Q121*0.15 + R121*0.12 + S121*0.09, 2)</f>
        <v>6.84</v>
      </c>
    </row>
    <row r="122" customFormat="false" ht="15" hidden="false" customHeight="false" outlineLevel="0" collapsed="false">
      <c r="A122" s="5" t="n">
        <v>119</v>
      </c>
      <c r="B122" s="6" t="s">
        <v>290</v>
      </c>
      <c r="C122" s="6" t="s">
        <v>303</v>
      </c>
      <c r="D122" s="7" t="s">
        <v>304</v>
      </c>
      <c r="E122" s="6" t="s">
        <v>225</v>
      </c>
      <c r="F122" s="5" t="n">
        <v>8.5</v>
      </c>
      <c r="G122" s="5" t="n">
        <v>9</v>
      </c>
      <c r="H122" s="5" t="n">
        <v>4</v>
      </c>
      <c r="I122" s="5" t="n">
        <v>7</v>
      </c>
      <c r="J122" s="5" t="n">
        <v>5</v>
      </c>
      <c r="K122" s="5" t="n">
        <v>6</v>
      </c>
      <c r="L122" s="8" t="n">
        <v>500</v>
      </c>
      <c r="M122" s="5" t="n">
        <v>8</v>
      </c>
      <c r="N122" s="5" t="n">
        <v>8</v>
      </c>
      <c r="O122" s="6" t="s">
        <v>48</v>
      </c>
      <c r="P122" s="5" t="s">
        <v>32</v>
      </c>
      <c r="Q122" s="5" t="n">
        <v>7</v>
      </c>
      <c r="R122" s="5" t="n">
        <v>8.5</v>
      </c>
      <c r="S122" s="5" t="n">
        <v>7.5</v>
      </c>
      <c r="T122" s="9" t="n">
        <f aca="false">ROUND(F122*0.15 + G122*0.08 + H122*0.08 + I122*0.1 + J122*0.08 + M122*0.1 + N122*0.05 + Q122*0.15 + R122*0.12 + S122*0.09, 2)</f>
        <v>7.36</v>
      </c>
    </row>
    <row r="123" customFormat="false" ht="15" hidden="false" customHeight="false" outlineLevel="0" collapsed="false">
      <c r="A123" s="10" t="n">
        <v>120</v>
      </c>
      <c r="B123" s="11" t="s">
        <v>290</v>
      </c>
      <c r="C123" s="11" t="s">
        <v>305</v>
      </c>
      <c r="D123" s="12" t="s">
        <v>306</v>
      </c>
      <c r="E123" s="11" t="s">
        <v>203</v>
      </c>
      <c r="F123" s="10" t="n">
        <v>8</v>
      </c>
      <c r="G123" s="10" t="n">
        <v>7</v>
      </c>
      <c r="H123" s="10" t="n">
        <v>7</v>
      </c>
      <c r="I123" s="10" t="n">
        <v>7</v>
      </c>
      <c r="J123" s="10" t="n">
        <v>7</v>
      </c>
      <c r="K123" s="10" t="n">
        <v>3</v>
      </c>
      <c r="L123" s="13" t="n">
        <v>350</v>
      </c>
      <c r="M123" s="10" t="n">
        <v>8</v>
      </c>
      <c r="N123" s="10" t="n">
        <v>8</v>
      </c>
      <c r="O123" s="11" t="s">
        <v>26</v>
      </c>
      <c r="P123" s="10" t="s">
        <v>198</v>
      </c>
      <c r="Q123" s="10" t="n">
        <v>7.5</v>
      </c>
      <c r="R123" s="10" t="n">
        <v>7.5</v>
      </c>
      <c r="S123" s="10" t="n">
        <v>8.5</v>
      </c>
      <c r="T123" s="14" t="n">
        <f aca="false">ROUND(F123*0.15 + G123*0.08 + H123*0.08 + I123*0.1 + J123*0.08 + M123*0.1 + N123*0.05 + Q123*0.15 + R123*0.12 + S123*0.09, 2)</f>
        <v>7.57</v>
      </c>
    </row>
    <row r="124" customFormat="false" ht="15" hidden="false" customHeight="false" outlineLevel="0" collapsed="false">
      <c r="A124" s="5" t="n">
        <v>121</v>
      </c>
      <c r="B124" s="6" t="s">
        <v>290</v>
      </c>
      <c r="C124" s="6" t="s">
        <v>301</v>
      </c>
      <c r="D124" s="7" t="s">
        <v>307</v>
      </c>
      <c r="E124" s="6" t="s">
        <v>184</v>
      </c>
      <c r="F124" s="5" t="n">
        <v>8</v>
      </c>
      <c r="G124" s="5" t="n">
        <v>6</v>
      </c>
      <c r="H124" s="5" t="n">
        <v>5</v>
      </c>
      <c r="I124" s="5" t="n">
        <v>7</v>
      </c>
      <c r="J124" s="5" t="n">
        <v>6</v>
      </c>
      <c r="K124" s="5" t="n">
        <v>4</v>
      </c>
      <c r="L124" s="8" t="n">
        <v>400</v>
      </c>
      <c r="M124" s="5" t="n">
        <v>6</v>
      </c>
      <c r="N124" s="5" t="n">
        <v>7</v>
      </c>
      <c r="O124" s="6" t="s">
        <v>48</v>
      </c>
      <c r="P124" s="5" t="s">
        <v>32</v>
      </c>
      <c r="Q124" s="5" t="n">
        <v>7</v>
      </c>
      <c r="R124" s="5" t="n">
        <v>7</v>
      </c>
      <c r="S124" s="5" t="n">
        <v>8</v>
      </c>
      <c r="T124" s="9" t="n">
        <f aca="false">ROUND(F124*0.15 + G124*0.08 + H124*0.08 + I124*0.1 + J124*0.08 + M124*0.1 + N124*0.05 + Q124*0.15 + R124*0.12 + S124*0.09, 2)</f>
        <v>6.82</v>
      </c>
    </row>
    <row r="125" customFormat="false" ht="15" hidden="false" customHeight="false" outlineLevel="0" collapsed="false">
      <c r="A125" s="10" t="n">
        <v>122</v>
      </c>
      <c r="B125" s="11" t="s">
        <v>290</v>
      </c>
      <c r="C125" s="11" t="s">
        <v>301</v>
      </c>
      <c r="D125" s="12" t="s">
        <v>308</v>
      </c>
      <c r="E125" s="11" t="s">
        <v>71</v>
      </c>
      <c r="F125" s="10" t="n">
        <v>8</v>
      </c>
      <c r="G125" s="10" t="n">
        <v>5</v>
      </c>
      <c r="H125" s="10" t="n">
        <v>4</v>
      </c>
      <c r="I125" s="10" t="n">
        <v>7</v>
      </c>
      <c r="J125" s="10" t="n">
        <v>7</v>
      </c>
      <c r="K125" s="10" t="n">
        <v>5</v>
      </c>
      <c r="L125" s="13" t="n">
        <v>400</v>
      </c>
      <c r="M125" s="10" t="n">
        <v>6</v>
      </c>
      <c r="N125" s="10" t="n">
        <v>6</v>
      </c>
      <c r="O125" s="11" t="s">
        <v>61</v>
      </c>
      <c r="P125" s="10" t="s">
        <v>45</v>
      </c>
      <c r="Q125" s="10" t="n">
        <v>7.5</v>
      </c>
      <c r="R125" s="10" t="n">
        <v>7</v>
      </c>
      <c r="S125" s="10" t="n">
        <v>7.5</v>
      </c>
      <c r="T125" s="14" t="n">
        <f aca="false">ROUND(F125*0.15 + G125*0.08 + H125*0.08 + I125*0.1 + J125*0.08 + M125*0.1 + N125*0.05 + Q125*0.15 + R125*0.12 + S125*0.09, 2)</f>
        <v>6.72</v>
      </c>
    </row>
    <row r="126" customFormat="false" ht="15" hidden="false" customHeight="false" outlineLevel="0" collapsed="false">
      <c r="A126" s="5" t="n">
        <v>123</v>
      </c>
      <c r="B126" s="6" t="s">
        <v>290</v>
      </c>
      <c r="C126" s="6" t="s">
        <v>309</v>
      </c>
      <c r="D126" s="7" t="s">
        <v>310</v>
      </c>
      <c r="E126" s="6" t="s">
        <v>25</v>
      </c>
      <c r="F126" s="5" t="n">
        <v>8</v>
      </c>
      <c r="G126" s="5" t="n">
        <v>5</v>
      </c>
      <c r="H126" s="5" t="n">
        <v>5</v>
      </c>
      <c r="I126" s="5" t="n">
        <v>7</v>
      </c>
      <c r="J126" s="5" t="n">
        <v>7</v>
      </c>
      <c r="K126" s="5" t="n">
        <v>3</v>
      </c>
      <c r="L126" s="8" t="n">
        <v>400</v>
      </c>
      <c r="M126" s="5" t="n">
        <v>6</v>
      </c>
      <c r="N126" s="5" t="n">
        <v>7</v>
      </c>
      <c r="O126" s="6" t="s">
        <v>26</v>
      </c>
      <c r="P126" s="5" t="s">
        <v>198</v>
      </c>
      <c r="Q126" s="5" t="n">
        <v>8</v>
      </c>
      <c r="R126" s="5" t="n">
        <v>7</v>
      </c>
      <c r="S126" s="5" t="n">
        <v>8</v>
      </c>
      <c r="T126" s="9" t="n">
        <f aca="false">ROUND(F126*0.15 + G126*0.08 + H126*0.08 + I126*0.1 + J126*0.08 + M126*0.1 + N126*0.05 + Q126*0.15 + R126*0.12 + S126*0.09, 2)</f>
        <v>6.97</v>
      </c>
    </row>
    <row r="127" customFormat="false" ht="15" hidden="false" customHeight="false" outlineLevel="0" collapsed="false">
      <c r="A127" s="10" t="n">
        <v>124</v>
      </c>
      <c r="B127" s="11" t="s">
        <v>290</v>
      </c>
      <c r="C127" s="11" t="s">
        <v>311</v>
      </c>
      <c r="D127" s="12" t="s">
        <v>312</v>
      </c>
      <c r="E127" s="11" t="s">
        <v>184</v>
      </c>
      <c r="F127" s="10" t="n">
        <v>7.8</v>
      </c>
      <c r="G127" s="10" t="n">
        <v>7</v>
      </c>
      <c r="H127" s="10" t="n">
        <v>6</v>
      </c>
      <c r="I127" s="10" t="n">
        <v>6</v>
      </c>
      <c r="J127" s="10" t="n">
        <v>6</v>
      </c>
      <c r="K127" s="10" t="n">
        <v>3</v>
      </c>
      <c r="L127" s="13" t="n">
        <v>300</v>
      </c>
      <c r="M127" s="10" t="n">
        <v>7</v>
      </c>
      <c r="N127" s="10" t="n">
        <v>7</v>
      </c>
      <c r="O127" s="11" t="s">
        <v>48</v>
      </c>
      <c r="P127" s="10" t="s">
        <v>32</v>
      </c>
      <c r="Q127" s="10" t="n">
        <v>6.5</v>
      </c>
      <c r="R127" s="10" t="n">
        <v>7</v>
      </c>
      <c r="S127" s="10" t="n">
        <v>8</v>
      </c>
      <c r="T127" s="14" t="n">
        <f aca="false">ROUND(F127*0.15 + G127*0.08 + H127*0.08 + I127*0.1 + J127*0.08 + M127*0.1 + N127*0.05 + Q127*0.15 + R127*0.12 + S127*0.09, 2)</f>
        <v>6.88</v>
      </c>
    </row>
    <row r="128" customFormat="false" ht="15" hidden="false" customHeight="false" outlineLevel="0" collapsed="false">
      <c r="A128" s="5" t="n">
        <v>125</v>
      </c>
      <c r="B128" s="6" t="s">
        <v>290</v>
      </c>
      <c r="C128" s="6" t="s">
        <v>313</v>
      </c>
      <c r="D128" s="7" t="s">
        <v>314</v>
      </c>
      <c r="E128" s="6" t="s">
        <v>25</v>
      </c>
      <c r="F128" s="5" t="n">
        <v>8.3</v>
      </c>
      <c r="G128" s="5" t="n">
        <v>5</v>
      </c>
      <c r="H128" s="5" t="n">
        <v>5</v>
      </c>
      <c r="I128" s="5" t="n">
        <v>8</v>
      </c>
      <c r="J128" s="5" t="n">
        <v>8</v>
      </c>
      <c r="K128" s="5" t="n">
        <v>4</v>
      </c>
      <c r="L128" s="8" t="n">
        <v>350</v>
      </c>
      <c r="M128" s="5" t="n">
        <v>7</v>
      </c>
      <c r="N128" s="5" t="n">
        <v>7</v>
      </c>
      <c r="O128" s="6" t="s">
        <v>26</v>
      </c>
      <c r="P128" s="5" t="s">
        <v>198</v>
      </c>
      <c r="Q128" s="5" t="n">
        <v>8</v>
      </c>
      <c r="R128" s="5" t="n">
        <v>7</v>
      </c>
      <c r="S128" s="5" t="n">
        <v>8.5</v>
      </c>
      <c r="T128" s="9" t="n">
        <f aca="false">ROUND(F128*0.15 + G128*0.08 + H128*0.08 + I128*0.1 + J128*0.08 + M128*0.1 + N128*0.05 + Q128*0.15 + R128*0.12 + S128*0.09, 2)</f>
        <v>7.34</v>
      </c>
    </row>
    <row r="129" customFormat="false" ht="15" hidden="false" customHeight="false" outlineLevel="0" collapsed="false">
      <c r="A129" s="10" t="n">
        <v>126</v>
      </c>
      <c r="B129" s="11" t="s">
        <v>290</v>
      </c>
      <c r="C129" s="11" t="s">
        <v>315</v>
      </c>
      <c r="D129" s="12" t="s">
        <v>316</v>
      </c>
      <c r="E129" s="11" t="s">
        <v>317</v>
      </c>
      <c r="F129" s="10" t="n">
        <v>7.5</v>
      </c>
      <c r="G129" s="10" t="n">
        <v>6</v>
      </c>
      <c r="H129" s="10" t="n">
        <v>6</v>
      </c>
      <c r="I129" s="10" t="n">
        <v>7</v>
      </c>
      <c r="J129" s="10" t="n">
        <v>6</v>
      </c>
      <c r="K129" s="10" t="n">
        <v>3</v>
      </c>
      <c r="L129" s="13" t="n">
        <v>350</v>
      </c>
      <c r="M129" s="10" t="n">
        <v>7</v>
      </c>
      <c r="N129" s="10" t="n">
        <v>7</v>
      </c>
      <c r="O129" s="11" t="s">
        <v>26</v>
      </c>
      <c r="P129" s="10" t="s">
        <v>32</v>
      </c>
      <c r="Q129" s="10" t="n">
        <v>6.5</v>
      </c>
      <c r="R129" s="10" t="n">
        <v>7</v>
      </c>
      <c r="S129" s="10" t="n">
        <v>7.5</v>
      </c>
      <c r="T129" s="14" t="n">
        <f aca="false">ROUND(F129*0.15 + G129*0.08 + H129*0.08 + I129*0.1 + J129*0.08 + M129*0.1 + N129*0.05 + Q129*0.15 + R129*0.12 + S129*0.09, 2)</f>
        <v>6.81</v>
      </c>
    </row>
    <row r="130" customFormat="false" ht="15" hidden="false" customHeight="false" outlineLevel="0" collapsed="false">
      <c r="A130" s="5" t="n">
        <v>127</v>
      </c>
      <c r="B130" s="6" t="s">
        <v>318</v>
      </c>
      <c r="C130" s="6" t="s">
        <v>319</v>
      </c>
      <c r="D130" s="7" t="s">
        <v>320</v>
      </c>
      <c r="E130" s="6" t="s">
        <v>25</v>
      </c>
      <c r="F130" s="5" t="n">
        <v>9.2</v>
      </c>
      <c r="G130" s="5" t="n">
        <v>7</v>
      </c>
      <c r="H130" s="5" t="n">
        <v>6</v>
      </c>
      <c r="I130" s="5" t="n">
        <v>9</v>
      </c>
      <c r="J130" s="5" t="n">
        <v>9</v>
      </c>
      <c r="K130" s="5" t="n">
        <v>5</v>
      </c>
      <c r="L130" s="8" t="n">
        <v>700</v>
      </c>
      <c r="M130" s="5" t="n">
        <v>9</v>
      </c>
      <c r="N130" s="5" t="n">
        <v>8</v>
      </c>
      <c r="O130" s="6" t="s">
        <v>321</v>
      </c>
      <c r="P130" s="5" t="s">
        <v>322</v>
      </c>
      <c r="Q130" s="5" t="n">
        <v>9.5</v>
      </c>
      <c r="R130" s="5" t="n">
        <v>8.5</v>
      </c>
      <c r="S130" s="5" t="n">
        <v>7.5</v>
      </c>
      <c r="T130" s="9" t="n">
        <f aca="false">ROUND(F130*0.15 + G130*0.08 + H130*0.08 + I130*0.1 + J130*0.08 + M130*0.1 + N130*0.05 + Q130*0.15 + R130*0.12 + S130*0.09, 2)</f>
        <v>8.46</v>
      </c>
    </row>
    <row r="131" customFormat="false" ht="15" hidden="false" customHeight="false" outlineLevel="0" collapsed="false">
      <c r="A131" s="10" t="n">
        <v>128</v>
      </c>
      <c r="B131" s="11" t="s">
        <v>318</v>
      </c>
      <c r="C131" s="11" t="s">
        <v>323</v>
      </c>
      <c r="D131" s="12" t="s">
        <v>324</v>
      </c>
      <c r="E131" s="11" t="s">
        <v>71</v>
      </c>
      <c r="F131" s="10" t="n">
        <v>9</v>
      </c>
      <c r="G131" s="10" t="n">
        <v>6</v>
      </c>
      <c r="H131" s="10" t="n">
        <v>5</v>
      </c>
      <c r="I131" s="10" t="n">
        <v>9</v>
      </c>
      <c r="J131" s="10" t="n">
        <v>8</v>
      </c>
      <c r="K131" s="10" t="n">
        <v>6</v>
      </c>
      <c r="L131" s="13" t="n">
        <v>600</v>
      </c>
      <c r="M131" s="10" t="n">
        <v>7</v>
      </c>
      <c r="N131" s="10" t="n">
        <v>7</v>
      </c>
      <c r="O131" s="11" t="s">
        <v>26</v>
      </c>
      <c r="P131" s="10" t="s">
        <v>325</v>
      </c>
      <c r="Q131" s="10" t="n">
        <v>9.5</v>
      </c>
      <c r="R131" s="10" t="n">
        <v>8</v>
      </c>
      <c r="S131" s="10" t="n">
        <v>8</v>
      </c>
      <c r="T131" s="14" t="n">
        <f aca="false">ROUND(F131*0.15 + G131*0.08 + H131*0.08 + I131*0.1 + J131*0.08 + M131*0.1 + N131*0.05 + Q131*0.15 + R131*0.12 + S131*0.09, 2)</f>
        <v>7.93</v>
      </c>
    </row>
    <row r="132" customFormat="false" ht="15" hidden="false" customHeight="false" outlineLevel="0" collapsed="false">
      <c r="A132" s="5" t="n">
        <v>129</v>
      </c>
      <c r="B132" s="6" t="s">
        <v>318</v>
      </c>
      <c r="C132" s="6" t="s">
        <v>326</v>
      </c>
      <c r="D132" s="7" t="s">
        <v>327</v>
      </c>
      <c r="E132" s="6" t="s">
        <v>328</v>
      </c>
      <c r="F132" s="5" t="n">
        <v>8.8</v>
      </c>
      <c r="G132" s="5" t="n">
        <v>7</v>
      </c>
      <c r="H132" s="5" t="n">
        <v>5</v>
      </c>
      <c r="I132" s="5" t="n">
        <v>8</v>
      </c>
      <c r="J132" s="5" t="n">
        <v>8</v>
      </c>
      <c r="K132" s="5" t="n">
        <v>5</v>
      </c>
      <c r="L132" s="8" t="n">
        <v>500</v>
      </c>
      <c r="M132" s="5" t="n">
        <v>6</v>
      </c>
      <c r="N132" s="5" t="n">
        <v>7</v>
      </c>
      <c r="O132" s="6" t="s">
        <v>26</v>
      </c>
      <c r="P132" s="5" t="s">
        <v>198</v>
      </c>
      <c r="Q132" s="5" t="n">
        <v>9.5</v>
      </c>
      <c r="R132" s="5" t="n">
        <v>7.5</v>
      </c>
      <c r="S132" s="5" t="n">
        <v>8</v>
      </c>
      <c r="T132" s="9" t="n">
        <f aca="false">ROUND(F132*0.15 + G132*0.08 + H132*0.08 + I132*0.1 + J132*0.08 + M132*0.1 + N132*0.05 + Q132*0.15 + R132*0.12 + S132*0.09, 2)</f>
        <v>7.72</v>
      </c>
    </row>
    <row r="133" customFormat="false" ht="15" hidden="false" customHeight="false" outlineLevel="0" collapsed="false">
      <c r="A133" s="10" t="n">
        <v>130</v>
      </c>
      <c r="B133" s="11" t="s">
        <v>318</v>
      </c>
      <c r="C133" s="11" t="s">
        <v>329</v>
      </c>
      <c r="D133" s="12" t="s">
        <v>330</v>
      </c>
      <c r="E133" s="11" t="s">
        <v>92</v>
      </c>
      <c r="F133" s="10" t="n">
        <v>8.3</v>
      </c>
      <c r="G133" s="10" t="n">
        <v>5</v>
      </c>
      <c r="H133" s="10" t="n">
        <v>5</v>
      </c>
      <c r="I133" s="10" t="n">
        <v>7</v>
      </c>
      <c r="J133" s="10" t="n">
        <v>8</v>
      </c>
      <c r="K133" s="10" t="n">
        <v>4</v>
      </c>
      <c r="L133" s="13" t="n">
        <v>400</v>
      </c>
      <c r="M133" s="10" t="n">
        <v>8</v>
      </c>
      <c r="N133" s="10" t="n">
        <v>8</v>
      </c>
      <c r="O133" s="11" t="s">
        <v>36</v>
      </c>
      <c r="P133" s="10" t="s">
        <v>37</v>
      </c>
      <c r="Q133" s="10" t="n">
        <v>8</v>
      </c>
      <c r="R133" s="10" t="n">
        <v>7.5</v>
      </c>
      <c r="S133" s="10" t="n">
        <v>8</v>
      </c>
      <c r="T133" s="14" t="n">
        <f aca="false">ROUND(F133*0.15 + G133*0.08 + H133*0.08 + I133*0.1 + J133*0.08 + M133*0.1 + N133*0.05 + Q133*0.15 + R133*0.12 + S133*0.09, 2)</f>
        <v>7.41</v>
      </c>
    </row>
    <row r="134" customFormat="false" ht="15" hidden="false" customHeight="false" outlineLevel="0" collapsed="false">
      <c r="A134" s="5" t="n">
        <v>131</v>
      </c>
      <c r="B134" s="6" t="s">
        <v>318</v>
      </c>
      <c r="C134" s="6" t="s">
        <v>331</v>
      </c>
      <c r="D134" s="7" t="s">
        <v>332</v>
      </c>
      <c r="E134" s="6" t="s">
        <v>57</v>
      </c>
      <c r="F134" s="5" t="n">
        <v>8.3</v>
      </c>
      <c r="G134" s="5" t="n">
        <v>5</v>
      </c>
      <c r="H134" s="5" t="n">
        <v>4</v>
      </c>
      <c r="I134" s="5" t="n">
        <v>7</v>
      </c>
      <c r="J134" s="5" t="n">
        <v>7</v>
      </c>
      <c r="K134" s="5" t="n">
        <v>5</v>
      </c>
      <c r="L134" s="8" t="n">
        <v>400</v>
      </c>
      <c r="M134" s="5" t="n">
        <v>6</v>
      </c>
      <c r="N134" s="5" t="n">
        <v>7</v>
      </c>
      <c r="O134" s="6" t="s">
        <v>26</v>
      </c>
      <c r="P134" s="5" t="s">
        <v>325</v>
      </c>
      <c r="Q134" s="5" t="n">
        <v>8</v>
      </c>
      <c r="R134" s="5" t="n">
        <v>7</v>
      </c>
      <c r="S134" s="5" t="n">
        <v>7.5</v>
      </c>
      <c r="T134" s="9" t="n">
        <f aca="false">ROUND(F134*0.15 + G134*0.08 + H134*0.08 + I134*0.1 + J134*0.08 + M134*0.1 + N134*0.05 + Q134*0.15 + R134*0.12 + S134*0.09, 2)</f>
        <v>6.89</v>
      </c>
    </row>
    <row r="135" customFormat="false" ht="15" hidden="false" customHeight="false" outlineLevel="0" collapsed="false">
      <c r="A135" s="10" t="n">
        <v>132</v>
      </c>
      <c r="B135" s="11" t="s">
        <v>318</v>
      </c>
      <c r="C135" s="11" t="s">
        <v>331</v>
      </c>
      <c r="D135" s="12" t="s">
        <v>333</v>
      </c>
      <c r="E135" s="11" t="s">
        <v>71</v>
      </c>
      <c r="F135" s="10" t="n">
        <v>8.3</v>
      </c>
      <c r="G135" s="10" t="n">
        <v>7</v>
      </c>
      <c r="H135" s="10" t="n">
        <v>4</v>
      </c>
      <c r="I135" s="10" t="n">
        <v>8</v>
      </c>
      <c r="J135" s="10" t="n">
        <v>6</v>
      </c>
      <c r="K135" s="10" t="n">
        <v>5</v>
      </c>
      <c r="L135" s="13" t="n">
        <v>450</v>
      </c>
      <c r="M135" s="10" t="n">
        <v>6</v>
      </c>
      <c r="N135" s="10" t="n">
        <v>5</v>
      </c>
      <c r="O135" s="11" t="s">
        <v>61</v>
      </c>
      <c r="P135" s="10" t="s">
        <v>334</v>
      </c>
      <c r="Q135" s="10" t="n">
        <v>8</v>
      </c>
      <c r="R135" s="10" t="n">
        <v>7</v>
      </c>
      <c r="S135" s="10" t="n">
        <v>7.5</v>
      </c>
      <c r="T135" s="14" t="n">
        <f aca="false">ROUND(F135*0.15 + G135*0.08 + H135*0.08 + I135*0.1 + J135*0.08 + M135*0.1 + N135*0.05 + Q135*0.15 + R135*0.12 + S135*0.09, 2)</f>
        <v>6.97</v>
      </c>
    </row>
    <row r="136" customFormat="false" ht="15" hidden="false" customHeight="false" outlineLevel="0" collapsed="false">
      <c r="A136" s="5" t="n">
        <v>133</v>
      </c>
      <c r="B136" s="6" t="s">
        <v>318</v>
      </c>
      <c r="C136" s="6" t="s">
        <v>335</v>
      </c>
      <c r="D136" s="7" t="s">
        <v>336</v>
      </c>
      <c r="E136" s="6" t="s">
        <v>116</v>
      </c>
      <c r="F136" s="5" t="n">
        <v>8.2</v>
      </c>
      <c r="G136" s="5" t="n">
        <v>5</v>
      </c>
      <c r="H136" s="5" t="n">
        <v>5</v>
      </c>
      <c r="I136" s="5" t="n">
        <v>7</v>
      </c>
      <c r="J136" s="5" t="n">
        <v>7</v>
      </c>
      <c r="K136" s="5" t="n">
        <v>5</v>
      </c>
      <c r="L136" s="8" t="n">
        <v>400</v>
      </c>
      <c r="M136" s="5" t="n">
        <v>6</v>
      </c>
      <c r="N136" s="5" t="n">
        <v>7</v>
      </c>
      <c r="O136" s="6" t="s">
        <v>26</v>
      </c>
      <c r="P136" s="5" t="s">
        <v>325</v>
      </c>
      <c r="Q136" s="5" t="n">
        <v>8</v>
      </c>
      <c r="R136" s="5" t="n">
        <v>7</v>
      </c>
      <c r="S136" s="5" t="n">
        <v>8</v>
      </c>
      <c r="T136" s="9" t="n">
        <f aca="false">ROUND(F136*0.15 + G136*0.08 + H136*0.08 + I136*0.1 + J136*0.08 + M136*0.1 + N136*0.05 + Q136*0.15 + R136*0.12 + S136*0.09, 2)</f>
        <v>7</v>
      </c>
    </row>
    <row r="137" customFormat="false" ht="15" hidden="false" customHeight="false" outlineLevel="0" collapsed="false">
      <c r="A137" s="10" t="n">
        <v>134</v>
      </c>
      <c r="B137" s="11" t="s">
        <v>318</v>
      </c>
      <c r="C137" s="11" t="s">
        <v>337</v>
      </c>
      <c r="D137" s="12" t="s">
        <v>338</v>
      </c>
      <c r="E137" s="11" t="s">
        <v>92</v>
      </c>
      <c r="F137" s="10" t="n">
        <v>8</v>
      </c>
      <c r="G137" s="10" t="n">
        <v>5</v>
      </c>
      <c r="H137" s="10" t="n">
        <v>5</v>
      </c>
      <c r="I137" s="10" t="n">
        <v>7</v>
      </c>
      <c r="J137" s="10" t="n">
        <v>7</v>
      </c>
      <c r="K137" s="10" t="n">
        <v>4</v>
      </c>
      <c r="L137" s="13" t="n">
        <v>400</v>
      </c>
      <c r="M137" s="10" t="n">
        <v>6</v>
      </c>
      <c r="N137" s="10" t="n">
        <v>7</v>
      </c>
      <c r="O137" s="11" t="s">
        <v>26</v>
      </c>
      <c r="P137" s="10" t="s">
        <v>198</v>
      </c>
      <c r="Q137" s="10" t="n">
        <v>8</v>
      </c>
      <c r="R137" s="10" t="n">
        <v>7</v>
      </c>
      <c r="S137" s="10" t="n">
        <v>7.5</v>
      </c>
      <c r="T137" s="14" t="n">
        <f aca="false">ROUND(F137*0.15 + G137*0.08 + H137*0.08 + I137*0.1 + J137*0.08 + M137*0.1 + N137*0.05 + Q137*0.15 + R137*0.12 + S137*0.09, 2)</f>
        <v>6.93</v>
      </c>
    </row>
    <row r="138" customFormat="false" ht="15" hidden="false" customHeight="false" outlineLevel="0" collapsed="false">
      <c r="A138" s="5" t="n">
        <v>135</v>
      </c>
      <c r="B138" s="6" t="s">
        <v>318</v>
      </c>
      <c r="C138" s="6" t="s">
        <v>326</v>
      </c>
      <c r="D138" s="7" t="s">
        <v>339</v>
      </c>
      <c r="E138" s="6" t="s">
        <v>74</v>
      </c>
      <c r="F138" s="5" t="n">
        <v>8.2</v>
      </c>
      <c r="G138" s="5" t="n">
        <v>5</v>
      </c>
      <c r="H138" s="5" t="n">
        <v>6</v>
      </c>
      <c r="I138" s="5" t="n">
        <v>6</v>
      </c>
      <c r="J138" s="5" t="n">
        <v>7</v>
      </c>
      <c r="K138" s="5" t="n">
        <v>3</v>
      </c>
      <c r="L138" s="8" t="n">
        <v>350</v>
      </c>
      <c r="M138" s="5" t="n">
        <v>6</v>
      </c>
      <c r="N138" s="5" t="n">
        <v>8</v>
      </c>
      <c r="O138" s="6" t="s">
        <v>36</v>
      </c>
      <c r="P138" s="5" t="s">
        <v>37</v>
      </c>
      <c r="Q138" s="5" t="n">
        <v>8.5</v>
      </c>
      <c r="R138" s="5" t="n">
        <v>7</v>
      </c>
      <c r="S138" s="5" t="n">
        <v>8.5</v>
      </c>
      <c r="T138" s="9" t="n">
        <f aca="false">ROUND(F138*0.15 + G138*0.08 + H138*0.08 + I138*0.1 + J138*0.08 + M138*0.1 + N138*0.05 + Q138*0.15 + R138*0.12 + S138*0.09, 2)</f>
        <v>7.15</v>
      </c>
    </row>
    <row r="139" customFormat="false" ht="15" hidden="false" customHeight="false" outlineLevel="0" collapsed="false">
      <c r="A139" s="10" t="n">
        <v>136</v>
      </c>
      <c r="B139" s="11" t="s">
        <v>318</v>
      </c>
      <c r="C139" s="11" t="s">
        <v>335</v>
      </c>
      <c r="D139" s="12" t="s">
        <v>340</v>
      </c>
      <c r="E139" s="11" t="s">
        <v>299</v>
      </c>
      <c r="F139" s="10" t="n">
        <v>7.8</v>
      </c>
      <c r="G139" s="10" t="n">
        <v>5</v>
      </c>
      <c r="H139" s="10" t="n">
        <v>5</v>
      </c>
      <c r="I139" s="10" t="n">
        <v>7</v>
      </c>
      <c r="J139" s="10" t="n">
        <v>7</v>
      </c>
      <c r="K139" s="10" t="n">
        <v>3</v>
      </c>
      <c r="L139" s="13" t="n">
        <v>350</v>
      </c>
      <c r="M139" s="10" t="n">
        <v>5</v>
      </c>
      <c r="N139" s="10" t="n">
        <v>7</v>
      </c>
      <c r="O139" s="11" t="s">
        <v>26</v>
      </c>
      <c r="P139" s="10" t="s">
        <v>198</v>
      </c>
      <c r="Q139" s="10" t="n">
        <v>7.5</v>
      </c>
      <c r="R139" s="10" t="n">
        <v>6.5</v>
      </c>
      <c r="S139" s="10" t="n">
        <v>8</v>
      </c>
      <c r="T139" s="14" t="n">
        <f aca="false">ROUND(F139*0.15 + G139*0.08 + H139*0.08 + I139*0.1 + J139*0.08 + M139*0.1 + N139*0.05 + Q139*0.15 + R139*0.12 + S139*0.09, 2)</f>
        <v>6.71</v>
      </c>
    </row>
    <row r="140" customFormat="false" ht="15" hidden="false" customHeight="false" outlineLevel="0" collapsed="false">
      <c r="A140" s="5" t="n">
        <v>137</v>
      </c>
      <c r="B140" s="6" t="s">
        <v>318</v>
      </c>
      <c r="C140" s="6" t="s">
        <v>341</v>
      </c>
      <c r="D140" s="7" t="s">
        <v>342</v>
      </c>
      <c r="E140" s="6" t="s">
        <v>25</v>
      </c>
      <c r="F140" s="5" t="n">
        <v>8.5</v>
      </c>
      <c r="G140" s="5" t="n">
        <v>7</v>
      </c>
      <c r="H140" s="5" t="n">
        <v>7</v>
      </c>
      <c r="I140" s="5" t="n">
        <v>8</v>
      </c>
      <c r="J140" s="5" t="n">
        <v>9</v>
      </c>
      <c r="K140" s="5" t="n">
        <v>3</v>
      </c>
      <c r="L140" s="8" t="n">
        <v>500</v>
      </c>
      <c r="M140" s="5" t="n">
        <v>10</v>
      </c>
      <c r="N140" s="5" t="n">
        <v>9</v>
      </c>
      <c r="O140" s="6" t="s">
        <v>36</v>
      </c>
      <c r="P140" s="5" t="s">
        <v>37</v>
      </c>
      <c r="Q140" s="5" t="n">
        <v>8.5</v>
      </c>
      <c r="R140" s="5" t="n">
        <v>9</v>
      </c>
      <c r="S140" s="5" t="n">
        <v>9</v>
      </c>
      <c r="T140" s="9" t="n">
        <f aca="false">ROUND(F140*0.15 + G140*0.08 + H140*0.08 + I140*0.1 + J140*0.08 + M140*0.1 + N140*0.05 + Q140*0.15 + R140*0.12 + S140*0.09, 2)</f>
        <v>8.53</v>
      </c>
    </row>
    <row r="141" customFormat="false" ht="15" hidden="false" customHeight="false" outlineLevel="0" collapsed="false">
      <c r="A141" s="10" t="n">
        <v>138</v>
      </c>
      <c r="B141" s="11" t="s">
        <v>343</v>
      </c>
      <c r="C141" s="11" t="s">
        <v>344</v>
      </c>
      <c r="D141" s="12" t="s">
        <v>345</v>
      </c>
      <c r="E141" s="11" t="s">
        <v>57</v>
      </c>
      <c r="F141" s="10" t="n">
        <v>9</v>
      </c>
      <c r="G141" s="10" t="n">
        <v>5</v>
      </c>
      <c r="H141" s="10" t="n">
        <v>4</v>
      </c>
      <c r="I141" s="10" t="n">
        <v>9</v>
      </c>
      <c r="J141" s="10" t="n">
        <v>8</v>
      </c>
      <c r="K141" s="10" t="n">
        <v>8</v>
      </c>
      <c r="L141" s="13" t="n">
        <v>600</v>
      </c>
      <c r="M141" s="10" t="n">
        <v>7</v>
      </c>
      <c r="N141" s="10" t="n">
        <v>6</v>
      </c>
      <c r="O141" s="11" t="s">
        <v>68</v>
      </c>
      <c r="P141" s="10" t="s">
        <v>171</v>
      </c>
      <c r="Q141" s="10" t="n">
        <v>9.5</v>
      </c>
      <c r="R141" s="10" t="n">
        <v>8</v>
      </c>
      <c r="S141" s="10" t="n">
        <v>7.5</v>
      </c>
      <c r="T141" s="14" t="n">
        <f aca="false">ROUND(F141*0.15 + G141*0.08 + H141*0.08 + I141*0.1 + J141*0.08 + M141*0.1 + N141*0.05 + Q141*0.15 + R141*0.12 + S141*0.09, 2)</f>
        <v>7.67</v>
      </c>
    </row>
    <row r="142" customFormat="false" ht="15" hidden="false" customHeight="false" outlineLevel="0" collapsed="false">
      <c r="A142" s="5" t="n">
        <v>139</v>
      </c>
      <c r="B142" s="6" t="s">
        <v>343</v>
      </c>
      <c r="C142" s="6" t="s">
        <v>346</v>
      </c>
      <c r="D142" s="7" t="s">
        <v>347</v>
      </c>
      <c r="E142" s="6" t="s">
        <v>74</v>
      </c>
      <c r="F142" s="5" t="n">
        <v>9</v>
      </c>
      <c r="G142" s="5" t="n">
        <v>6</v>
      </c>
      <c r="H142" s="5" t="n">
        <v>5</v>
      </c>
      <c r="I142" s="5" t="n">
        <v>7</v>
      </c>
      <c r="J142" s="5" t="n">
        <v>8</v>
      </c>
      <c r="K142" s="5" t="n">
        <v>6</v>
      </c>
      <c r="L142" s="8" t="n">
        <v>500</v>
      </c>
      <c r="M142" s="5" t="n">
        <v>6</v>
      </c>
      <c r="N142" s="5" t="n">
        <v>6</v>
      </c>
      <c r="O142" s="6" t="s">
        <v>26</v>
      </c>
      <c r="P142" s="5" t="s">
        <v>27</v>
      </c>
      <c r="Q142" s="5" t="n">
        <v>9.5</v>
      </c>
      <c r="R142" s="5" t="n">
        <v>7.5</v>
      </c>
      <c r="S142" s="5" t="n">
        <v>8</v>
      </c>
      <c r="T142" s="9" t="n">
        <f aca="false">ROUND(F142*0.15 + G142*0.08 + H142*0.08 + I142*0.1 + J142*0.08 + M142*0.1 + N142*0.05 + Q142*0.15 + R142*0.12 + S142*0.09, 2)</f>
        <v>7.52</v>
      </c>
    </row>
    <row r="143" customFormat="false" ht="15" hidden="false" customHeight="false" outlineLevel="0" collapsed="false">
      <c r="A143" s="10" t="n">
        <v>140</v>
      </c>
      <c r="B143" s="11" t="s">
        <v>343</v>
      </c>
      <c r="C143" s="11" t="s">
        <v>348</v>
      </c>
      <c r="D143" s="12" t="s">
        <v>349</v>
      </c>
      <c r="E143" s="11" t="s">
        <v>57</v>
      </c>
      <c r="F143" s="10" t="n">
        <v>9</v>
      </c>
      <c r="G143" s="10" t="n">
        <v>4</v>
      </c>
      <c r="H143" s="10" t="n">
        <v>3</v>
      </c>
      <c r="I143" s="10" t="n">
        <v>8</v>
      </c>
      <c r="J143" s="10" t="n">
        <v>8</v>
      </c>
      <c r="K143" s="10" t="n">
        <v>6</v>
      </c>
      <c r="L143" s="13" t="n">
        <v>500</v>
      </c>
      <c r="M143" s="10" t="n">
        <v>7</v>
      </c>
      <c r="N143" s="10" t="n">
        <v>6</v>
      </c>
      <c r="O143" s="11" t="s">
        <v>26</v>
      </c>
      <c r="P143" s="10" t="s">
        <v>325</v>
      </c>
      <c r="Q143" s="10" t="n">
        <v>9.5</v>
      </c>
      <c r="R143" s="10" t="n">
        <v>7.5</v>
      </c>
      <c r="S143" s="10" t="n">
        <v>7.5</v>
      </c>
      <c r="T143" s="14" t="n">
        <f aca="false">ROUND(F143*0.15 + G143*0.08 + H143*0.08 + I143*0.1 + J143*0.08 + M143*0.1 + N143*0.05 + Q143*0.15 + R143*0.12 + S143*0.09, 2)</f>
        <v>7.35</v>
      </c>
    </row>
    <row r="144" customFormat="false" ht="15" hidden="false" customHeight="false" outlineLevel="0" collapsed="false">
      <c r="A144" s="5" t="n">
        <v>141</v>
      </c>
      <c r="B144" s="6" t="s">
        <v>343</v>
      </c>
      <c r="C144" s="6" t="s">
        <v>350</v>
      </c>
      <c r="D144" s="7" t="s">
        <v>351</v>
      </c>
      <c r="E144" s="6" t="s">
        <v>352</v>
      </c>
      <c r="F144" s="5" t="n">
        <v>8.5</v>
      </c>
      <c r="G144" s="5" t="n">
        <v>6</v>
      </c>
      <c r="H144" s="5" t="n">
        <v>5</v>
      </c>
      <c r="I144" s="5" t="n">
        <v>8</v>
      </c>
      <c r="J144" s="5" t="n">
        <v>7</v>
      </c>
      <c r="K144" s="5" t="n">
        <v>5</v>
      </c>
      <c r="L144" s="8" t="n">
        <v>450</v>
      </c>
      <c r="M144" s="5" t="n">
        <v>7</v>
      </c>
      <c r="N144" s="5" t="n">
        <v>7</v>
      </c>
      <c r="O144" s="6" t="s">
        <v>26</v>
      </c>
      <c r="P144" s="5" t="s">
        <v>325</v>
      </c>
      <c r="Q144" s="5" t="n">
        <v>8.5</v>
      </c>
      <c r="R144" s="5" t="n">
        <v>7.5</v>
      </c>
      <c r="S144" s="5" t="n">
        <v>7.5</v>
      </c>
      <c r="T144" s="9" t="n">
        <f aca="false">ROUND(F144*0.15 + G144*0.08 + H144*0.08 + I144*0.1 + J144*0.08 + M144*0.1 + N144*0.05 + Q144*0.15 + R144*0.12 + S144*0.09, 2)</f>
        <v>7.42</v>
      </c>
    </row>
    <row r="145" customFormat="false" ht="15" hidden="false" customHeight="false" outlineLevel="0" collapsed="false">
      <c r="A145" s="10" t="n">
        <v>142</v>
      </c>
      <c r="B145" s="11" t="s">
        <v>343</v>
      </c>
      <c r="C145" s="11" t="s">
        <v>348</v>
      </c>
      <c r="D145" s="12" t="s">
        <v>353</v>
      </c>
      <c r="E145" s="11" t="s">
        <v>116</v>
      </c>
      <c r="F145" s="10" t="n">
        <v>8</v>
      </c>
      <c r="G145" s="10" t="n">
        <v>5</v>
      </c>
      <c r="H145" s="10" t="n">
        <v>5</v>
      </c>
      <c r="I145" s="10" t="n">
        <v>7</v>
      </c>
      <c r="J145" s="10" t="n">
        <v>7</v>
      </c>
      <c r="K145" s="10" t="n">
        <v>4</v>
      </c>
      <c r="L145" s="13" t="n">
        <v>400</v>
      </c>
      <c r="M145" s="10" t="n">
        <v>6</v>
      </c>
      <c r="N145" s="10" t="n">
        <v>7</v>
      </c>
      <c r="O145" s="11" t="s">
        <v>26</v>
      </c>
      <c r="P145" s="10" t="s">
        <v>325</v>
      </c>
      <c r="Q145" s="10" t="n">
        <v>7.5</v>
      </c>
      <c r="R145" s="10" t="n">
        <v>7</v>
      </c>
      <c r="S145" s="10" t="n">
        <v>8</v>
      </c>
      <c r="T145" s="14" t="n">
        <f aca="false">ROUND(F145*0.15 + G145*0.08 + H145*0.08 + I145*0.1 + J145*0.08 + M145*0.1 + N145*0.05 + Q145*0.15 + R145*0.12 + S145*0.09, 2)</f>
        <v>6.9</v>
      </c>
    </row>
    <row r="146" customFormat="false" ht="15" hidden="false" customHeight="false" outlineLevel="0" collapsed="false">
      <c r="A146" s="5" t="n">
        <v>143</v>
      </c>
      <c r="B146" s="6" t="s">
        <v>343</v>
      </c>
      <c r="C146" s="6" t="s">
        <v>354</v>
      </c>
      <c r="D146" s="7" t="s">
        <v>355</v>
      </c>
      <c r="E146" s="6" t="s">
        <v>25</v>
      </c>
      <c r="F146" s="5" t="n">
        <v>8.5</v>
      </c>
      <c r="G146" s="5" t="n">
        <v>7</v>
      </c>
      <c r="H146" s="5" t="n">
        <v>6</v>
      </c>
      <c r="I146" s="5" t="n">
        <v>7</v>
      </c>
      <c r="J146" s="5" t="n">
        <v>8</v>
      </c>
      <c r="K146" s="5" t="n">
        <v>3</v>
      </c>
      <c r="L146" s="8" t="n">
        <v>400</v>
      </c>
      <c r="M146" s="5" t="n">
        <v>7</v>
      </c>
      <c r="N146" s="5" t="n">
        <v>8</v>
      </c>
      <c r="O146" s="6" t="s">
        <v>36</v>
      </c>
      <c r="P146" s="5" t="s">
        <v>37</v>
      </c>
      <c r="Q146" s="5" t="n">
        <v>9</v>
      </c>
      <c r="R146" s="5" t="n">
        <v>8</v>
      </c>
      <c r="S146" s="5" t="n">
        <v>8.5</v>
      </c>
      <c r="T146" s="9" t="n">
        <f aca="false">ROUND(F146*0.15 + G146*0.08 + H146*0.08 + I146*0.1 + J146*0.08 + M146*0.1 + N146*0.05 + Q146*0.15 + R146*0.12 + S146*0.09, 2)</f>
        <v>7.83</v>
      </c>
    </row>
    <row r="147" customFormat="false" ht="15" hidden="false" customHeight="false" outlineLevel="0" collapsed="false">
      <c r="A147" s="10" t="n">
        <v>144</v>
      </c>
      <c r="B147" s="11" t="s">
        <v>343</v>
      </c>
      <c r="C147" s="11" t="s">
        <v>348</v>
      </c>
      <c r="D147" s="12" t="s">
        <v>356</v>
      </c>
      <c r="E147" s="11" t="s">
        <v>102</v>
      </c>
      <c r="F147" s="10" t="n">
        <v>8.5</v>
      </c>
      <c r="G147" s="10" t="n">
        <v>6</v>
      </c>
      <c r="H147" s="10" t="n">
        <v>5</v>
      </c>
      <c r="I147" s="10" t="n">
        <v>8</v>
      </c>
      <c r="J147" s="10" t="n">
        <v>8</v>
      </c>
      <c r="K147" s="10" t="n">
        <v>5</v>
      </c>
      <c r="L147" s="13" t="n">
        <v>450</v>
      </c>
      <c r="M147" s="10" t="n">
        <v>6</v>
      </c>
      <c r="N147" s="10" t="n">
        <v>5</v>
      </c>
      <c r="O147" s="11" t="s">
        <v>219</v>
      </c>
      <c r="P147" s="10" t="s">
        <v>220</v>
      </c>
      <c r="Q147" s="10" t="n">
        <v>8.5</v>
      </c>
      <c r="R147" s="10" t="n">
        <v>7</v>
      </c>
      <c r="S147" s="10" t="n">
        <v>7.5</v>
      </c>
      <c r="T147" s="14" t="n">
        <f aca="false">ROUND(F147*0.15 + G147*0.08 + H147*0.08 + I147*0.1 + J147*0.08 + M147*0.1 + N147*0.05 + Q147*0.15 + R147*0.12 + S147*0.09, 2)</f>
        <v>7.24</v>
      </c>
    </row>
    <row r="148" customFormat="false" ht="15" hidden="false" customHeight="false" outlineLevel="0" collapsed="false">
      <c r="A148" s="5" t="n">
        <v>145</v>
      </c>
      <c r="B148" s="6" t="s">
        <v>343</v>
      </c>
      <c r="C148" s="6" t="s">
        <v>344</v>
      </c>
      <c r="D148" s="7" t="s">
        <v>357</v>
      </c>
      <c r="E148" s="6" t="s">
        <v>184</v>
      </c>
      <c r="F148" s="5" t="n">
        <v>8</v>
      </c>
      <c r="G148" s="5" t="n">
        <v>6</v>
      </c>
      <c r="H148" s="5" t="n">
        <v>5</v>
      </c>
      <c r="I148" s="5" t="n">
        <v>7</v>
      </c>
      <c r="J148" s="5" t="n">
        <v>6</v>
      </c>
      <c r="K148" s="5" t="n">
        <v>5</v>
      </c>
      <c r="L148" s="8" t="n">
        <v>450</v>
      </c>
      <c r="M148" s="5" t="n">
        <v>6</v>
      </c>
      <c r="N148" s="5" t="n">
        <v>7</v>
      </c>
      <c r="O148" s="6" t="s">
        <v>61</v>
      </c>
      <c r="P148" s="5" t="s">
        <v>45</v>
      </c>
      <c r="Q148" s="5" t="n">
        <v>7.5</v>
      </c>
      <c r="R148" s="5" t="n">
        <v>7</v>
      </c>
      <c r="S148" s="5" t="n">
        <v>7.5</v>
      </c>
      <c r="T148" s="9" t="n">
        <f aca="false">ROUND(F148*0.15 + G148*0.08 + H148*0.08 + I148*0.1 + J148*0.08 + M148*0.1 + N148*0.05 + Q148*0.15 + R148*0.12 + S148*0.09, 2)</f>
        <v>6.85</v>
      </c>
    </row>
    <row r="149" customFormat="false" ht="15" hidden="false" customHeight="false" outlineLevel="0" collapsed="false">
      <c r="A149" s="10" t="n">
        <v>146</v>
      </c>
      <c r="B149" s="11" t="s">
        <v>343</v>
      </c>
      <c r="C149" s="11" t="s">
        <v>358</v>
      </c>
      <c r="D149" s="12" t="s">
        <v>359</v>
      </c>
      <c r="E149" s="11" t="s">
        <v>74</v>
      </c>
      <c r="F149" s="10" t="n">
        <v>8.5</v>
      </c>
      <c r="G149" s="10" t="n">
        <v>5</v>
      </c>
      <c r="H149" s="10" t="n">
        <v>6</v>
      </c>
      <c r="I149" s="10" t="n">
        <v>6</v>
      </c>
      <c r="J149" s="10" t="n">
        <v>8</v>
      </c>
      <c r="K149" s="10" t="n">
        <v>4</v>
      </c>
      <c r="L149" s="13" t="n">
        <v>350</v>
      </c>
      <c r="M149" s="10" t="n">
        <v>6</v>
      </c>
      <c r="N149" s="10" t="n">
        <v>8</v>
      </c>
      <c r="O149" s="11" t="s">
        <v>36</v>
      </c>
      <c r="P149" s="10" t="s">
        <v>37</v>
      </c>
      <c r="Q149" s="10" t="n">
        <v>9</v>
      </c>
      <c r="R149" s="10" t="n">
        <v>7</v>
      </c>
      <c r="S149" s="10" t="n">
        <v>8.5</v>
      </c>
      <c r="T149" s="14" t="n">
        <f aca="false">ROUND(F149*0.15 + G149*0.08 + H149*0.08 + I149*0.1 + J149*0.08 + M149*0.1 + N149*0.05 + Q149*0.15 + R149*0.12 + S149*0.09, 2)</f>
        <v>7.35</v>
      </c>
    </row>
    <row r="150" customFormat="false" ht="15" hidden="false" customHeight="false" outlineLevel="0" collapsed="false">
      <c r="A150" s="5" t="n">
        <v>147</v>
      </c>
      <c r="B150" s="6" t="s">
        <v>343</v>
      </c>
      <c r="C150" s="6" t="s">
        <v>360</v>
      </c>
      <c r="D150" s="7" t="s">
        <v>361</v>
      </c>
      <c r="E150" s="6" t="s">
        <v>71</v>
      </c>
      <c r="F150" s="5" t="n">
        <v>8</v>
      </c>
      <c r="G150" s="5" t="n">
        <v>6</v>
      </c>
      <c r="H150" s="5" t="n">
        <v>4</v>
      </c>
      <c r="I150" s="5" t="n">
        <v>7</v>
      </c>
      <c r="J150" s="5" t="n">
        <v>7</v>
      </c>
      <c r="K150" s="5" t="n">
        <v>5</v>
      </c>
      <c r="L150" s="8" t="n">
        <v>400</v>
      </c>
      <c r="M150" s="5" t="n">
        <v>6</v>
      </c>
      <c r="N150" s="5" t="n">
        <v>6</v>
      </c>
      <c r="O150" s="6" t="s">
        <v>61</v>
      </c>
      <c r="P150" s="5" t="s">
        <v>45</v>
      </c>
      <c r="Q150" s="5" t="n">
        <v>7.5</v>
      </c>
      <c r="R150" s="5" t="n">
        <v>7</v>
      </c>
      <c r="S150" s="5" t="n">
        <v>7.5</v>
      </c>
      <c r="T150" s="9" t="n">
        <f aca="false">ROUND(F150*0.15 + G150*0.08 + H150*0.08 + I150*0.1 + J150*0.08 + M150*0.1 + N150*0.05 + Q150*0.15 + R150*0.12 + S150*0.09, 2)</f>
        <v>6.8</v>
      </c>
    </row>
    <row r="151" customFormat="false" ht="15" hidden="false" customHeight="false" outlineLevel="0" collapsed="false">
      <c r="A151" s="10" t="n">
        <v>148</v>
      </c>
      <c r="B151" s="11" t="s">
        <v>343</v>
      </c>
      <c r="C151" s="11" t="s">
        <v>362</v>
      </c>
      <c r="D151" s="12" t="s">
        <v>363</v>
      </c>
      <c r="E151" s="11" t="s">
        <v>25</v>
      </c>
      <c r="F151" s="10" t="n">
        <v>8.5</v>
      </c>
      <c r="G151" s="10" t="n">
        <v>6</v>
      </c>
      <c r="H151" s="10" t="n">
        <v>7</v>
      </c>
      <c r="I151" s="10" t="n">
        <v>8</v>
      </c>
      <c r="J151" s="10" t="n">
        <v>8</v>
      </c>
      <c r="K151" s="10" t="n">
        <v>2</v>
      </c>
      <c r="L151" s="13" t="n">
        <v>450</v>
      </c>
      <c r="M151" s="10" t="n">
        <v>9</v>
      </c>
      <c r="N151" s="10" t="n">
        <v>9</v>
      </c>
      <c r="O151" s="11" t="s">
        <v>36</v>
      </c>
      <c r="P151" s="10" t="s">
        <v>37</v>
      </c>
      <c r="Q151" s="10" t="n">
        <v>9</v>
      </c>
      <c r="R151" s="10" t="n">
        <v>8.5</v>
      </c>
      <c r="S151" s="10" t="n">
        <v>8.5</v>
      </c>
      <c r="T151" s="14" t="n">
        <f aca="false">ROUND(F151*0.15 + G151*0.08 + H151*0.08 + I151*0.1 + J151*0.08 + M151*0.1 + N151*0.05 + Q151*0.15 + R151*0.12 + S151*0.09, 2)</f>
        <v>8.24</v>
      </c>
    </row>
    <row r="152" customFormat="false" ht="15" hidden="false" customHeight="false" outlineLevel="0" collapsed="false">
      <c r="A152" s="5" t="n">
        <v>149</v>
      </c>
      <c r="B152" s="6" t="s">
        <v>343</v>
      </c>
      <c r="C152" s="6" t="s">
        <v>364</v>
      </c>
      <c r="D152" s="7" t="s">
        <v>365</v>
      </c>
      <c r="E152" s="6" t="s">
        <v>57</v>
      </c>
      <c r="F152" s="5" t="n">
        <v>8.8</v>
      </c>
      <c r="G152" s="5" t="n">
        <v>4</v>
      </c>
      <c r="H152" s="5" t="n">
        <v>3</v>
      </c>
      <c r="I152" s="5" t="n">
        <v>8</v>
      </c>
      <c r="J152" s="5" t="n">
        <v>8</v>
      </c>
      <c r="K152" s="5" t="n">
        <v>7</v>
      </c>
      <c r="L152" s="8" t="n">
        <v>450</v>
      </c>
      <c r="M152" s="5" t="n">
        <v>7</v>
      </c>
      <c r="N152" s="5" t="n">
        <v>5</v>
      </c>
      <c r="O152" s="6" t="s">
        <v>26</v>
      </c>
      <c r="P152" s="5" t="s">
        <v>27</v>
      </c>
      <c r="Q152" s="5" t="n">
        <v>8.5</v>
      </c>
      <c r="R152" s="5" t="n">
        <v>7</v>
      </c>
      <c r="S152" s="5" t="n">
        <v>7.5</v>
      </c>
      <c r="T152" s="9" t="n">
        <f aca="false">ROUND(F152*0.15 + G152*0.08 + H152*0.08 + I152*0.1 + J152*0.08 + M152*0.1 + N152*0.05 + Q152*0.15 + R152*0.12 + S152*0.09, 2)</f>
        <v>7.06</v>
      </c>
    </row>
    <row r="153" customFormat="false" ht="15" hidden="false" customHeight="false" outlineLevel="0" collapsed="false">
      <c r="A153" s="10" t="n">
        <v>150</v>
      </c>
      <c r="B153" s="11" t="s">
        <v>343</v>
      </c>
      <c r="C153" s="11" t="s">
        <v>348</v>
      </c>
      <c r="D153" s="12" t="s">
        <v>366</v>
      </c>
      <c r="E153" s="11" t="s">
        <v>108</v>
      </c>
      <c r="F153" s="10" t="n">
        <v>8</v>
      </c>
      <c r="G153" s="10" t="n">
        <v>5</v>
      </c>
      <c r="H153" s="10" t="n">
        <v>4</v>
      </c>
      <c r="I153" s="10" t="n">
        <v>7</v>
      </c>
      <c r="J153" s="10" t="n">
        <v>7</v>
      </c>
      <c r="K153" s="10" t="n">
        <v>4</v>
      </c>
      <c r="L153" s="13" t="n">
        <v>400</v>
      </c>
      <c r="M153" s="10" t="n">
        <v>6</v>
      </c>
      <c r="N153" s="10" t="n">
        <v>6</v>
      </c>
      <c r="O153" s="11" t="s">
        <v>26</v>
      </c>
      <c r="P153" s="10" t="s">
        <v>27</v>
      </c>
      <c r="Q153" s="10" t="n">
        <v>7.5</v>
      </c>
      <c r="R153" s="10" t="n">
        <v>7</v>
      </c>
      <c r="S153" s="10" t="n">
        <v>7.5</v>
      </c>
      <c r="T153" s="14" t="n">
        <f aca="false">ROUND(F153*0.15 + G153*0.08 + H153*0.08 + I153*0.1 + J153*0.08 + M153*0.1 + N153*0.05 + Q153*0.15 + R153*0.12 + S153*0.09, 2)</f>
        <v>6.72</v>
      </c>
    </row>
    <row r="154" customFormat="false" ht="15" hidden="false" customHeight="false" outlineLevel="0" collapsed="false">
      <c r="A154" s="5" t="n">
        <v>151</v>
      </c>
      <c r="B154" s="6" t="s">
        <v>343</v>
      </c>
      <c r="C154" s="6" t="s">
        <v>348</v>
      </c>
      <c r="D154" s="7" t="s">
        <v>367</v>
      </c>
      <c r="E154" s="6" t="s">
        <v>299</v>
      </c>
      <c r="F154" s="5" t="n">
        <v>8.8</v>
      </c>
      <c r="G154" s="5" t="n">
        <v>7</v>
      </c>
      <c r="H154" s="5" t="n">
        <v>5</v>
      </c>
      <c r="I154" s="5" t="n">
        <v>9</v>
      </c>
      <c r="J154" s="5" t="n">
        <v>8</v>
      </c>
      <c r="K154" s="5" t="n">
        <v>4</v>
      </c>
      <c r="L154" s="8" t="n">
        <v>450</v>
      </c>
      <c r="M154" s="5" t="n">
        <v>6</v>
      </c>
      <c r="N154" s="5" t="n">
        <v>5</v>
      </c>
      <c r="O154" s="6" t="s">
        <v>26</v>
      </c>
      <c r="P154" s="5" t="s">
        <v>368</v>
      </c>
      <c r="Q154" s="5" t="n">
        <v>9</v>
      </c>
      <c r="R154" s="5" t="n">
        <v>8</v>
      </c>
      <c r="S154" s="5" t="n">
        <v>7.5</v>
      </c>
      <c r="T154" s="9" t="n">
        <f aca="false">ROUND(F154*0.15 + G154*0.08 + H154*0.08 + I154*0.1 + J154*0.08 + M154*0.1 + N154*0.05 + Q154*0.15 + R154*0.12 + S154*0.09, 2)</f>
        <v>7.66</v>
      </c>
    </row>
    <row r="155" customFormat="false" ht="15" hidden="false" customHeight="false" outlineLevel="0" collapsed="false">
      <c r="A155" s="10" t="n">
        <v>152</v>
      </c>
      <c r="B155" s="11" t="s">
        <v>369</v>
      </c>
      <c r="C155" s="11" t="s">
        <v>370</v>
      </c>
      <c r="D155" s="12" t="s">
        <v>371</v>
      </c>
      <c r="E155" s="11" t="s">
        <v>57</v>
      </c>
      <c r="F155" s="10" t="n">
        <v>9.5</v>
      </c>
      <c r="G155" s="10" t="n">
        <v>5</v>
      </c>
      <c r="H155" s="10" t="n">
        <v>3</v>
      </c>
      <c r="I155" s="10" t="n">
        <v>8</v>
      </c>
      <c r="J155" s="10" t="n">
        <v>8</v>
      </c>
      <c r="K155" s="10" t="n">
        <v>8</v>
      </c>
      <c r="L155" s="13" t="n">
        <v>500</v>
      </c>
      <c r="M155" s="10" t="n">
        <v>8</v>
      </c>
      <c r="N155" s="10" t="n">
        <v>6</v>
      </c>
      <c r="O155" s="11" t="s">
        <v>26</v>
      </c>
      <c r="P155" s="10" t="s">
        <v>293</v>
      </c>
      <c r="Q155" s="10" t="n">
        <v>10</v>
      </c>
      <c r="R155" s="10" t="n">
        <v>8</v>
      </c>
      <c r="S155" s="10" t="n">
        <v>7.5</v>
      </c>
      <c r="T155" s="14" t="n">
        <f aca="false">ROUND(F155*0.15 + G155*0.08 + H155*0.08 + I155*0.1 + J155*0.08 + M155*0.1 + N155*0.05 + Q155*0.15 + R155*0.12 + S155*0.09, 2)</f>
        <v>7.74</v>
      </c>
    </row>
    <row r="156" customFormat="false" ht="15" hidden="false" customHeight="false" outlineLevel="0" collapsed="false">
      <c r="A156" s="5" t="n">
        <v>153</v>
      </c>
      <c r="B156" s="6" t="s">
        <v>369</v>
      </c>
      <c r="C156" s="6" t="s">
        <v>372</v>
      </c>
      <c r="D156" s="7" t="s">
        <v>373</v>
      </c>
      <c r="E156" s="6" t="s">
        <v>25</v>
      </c>
      <c r="F156" s="5" t="n">
        <v>9</v>
      </c>
      <c r="G156" s="5" t="n">
        <v>6</v>
      </c>
      <c r="H156" s="5" t="n">
        <v>6</v>
      </c>
      <c r="I156" s="5" t="n">
        <v>8</v>
      </c>
      <c r="J156" s="5" t="n">
        <v>9</v>
      </c>
      <c r="K156" s="5" t="n">
        <v>4</v>
      </c>
      <c r="L156" s="8" t="n">
        <v>400</v>
      </c>
      <c r="M156" s="5" t="n">
        <v>8</v>
      </c>
      <c r="N156" s="5" t="n">
        <v>7</v>
      </c>
      <c r="O156" s="6" t="s">
        <v>26</v>
      </c>
      <c r="P156" s="5" t="s">
        <v>293</v>
      </c>
      <c r="Q156" s="5" t="n">
        <v>10</v>
      </c>
      <c r="R156" s="5" t="n">
        <v>8</v>
      </c>
      <c r="S156" s="5" t="n">
        <v>8</v>
      </c>
      <c r="T156" s="9" t="n">
        <f aca="false">ROUND(F156*0.15 + G156*0.08 + H156*0.08 + I156*0.1 + J156*0.08 + M156*0.1 + N156*0.05 + Q156*0.15 + R156*0.12 + S156*0.09, 2)</f>
        <v>8.16</v>
      </c>
    </row>
    <row r="157" customFormat="false" ht="15" hidden="false" customHeight="false" outlineLevel="0" collapsed="false">
      <c r="A157" s="10" t="n">
        <v>154</v>
      </c>
      <c r="B157" s="11" t="s">
        <v>369</v>
      </c>
      <c r="C157" s="11" t="s">
        <v>374</v>
      </c>
      <c r="D157" s="12" t="s">
        <v>375</v>
      </c>
      <c r="E157" s="11" t="s">
        <v>25</v>
      </c>
      <c r="F157" s="10" t="n">
        <v>8.5</v>
      </c>
      <c r="G157" s="10" t="n">
        <v>7</v>
      </c>
      <c r="H157" s="10" t="n">
        <v>6</v>
      </c>
      <c r="I157" s="10" t="n">
        <v>8</v>
      </c>
      <c r="J157" s="10" t="n">
        <v>7</v>
      </c>
      <c r="K157" s="10" t="n">
        <v>4</v>
      </c>
      <c r="L157" s="13" t="n">
        <v>500</v>
      </c>
      <c r="M157" s="10" t="n">
        <v>7</v>
      </c>
      <c r="N157" s="10" t="n">
        <v>6</v>
      </c>
      <c r="O157" s="11" t="s">
        <v>61</v>
      </c>
      <c r="P157" s="10" t="s">
        <v>45</v>
      </c>
      <c r="Q157" s="10" t="n">
        <v>8.5</v>
      </c>
      <c r="R157" s="10" t="n">
        <v>8</v>
      </c>
      <c r="S157" s="10" t="n">
        <v>7.5</v>
      </c>
      <c r="T157" s="14" t="n">
        <f aca="false">ROUND(F157*0.15 + G157*0.08 + H157*0.08 + I157*0.1 + J157*0.08 + M157*0.1 + N157*0.05 + Q157*0.15 + R157*0.12 + S157*0.09, 2)</f>
        <v>7.59</v>
      </c>
    </row>
    <row r="158" customFormat="false" ht="15" hidden="false" customHeight="false" outlineLevel="0" collapsed="false">
      <c r="A158" s="5" t="n">
        <v>155</v>
      </c>
      <c r="B158" s="6" t="s">
        <v>369</v>
      </c>
      <c r="C158" s="6" t="s">
        <v>376</v>
      </c>
      <c r="D158" s="7" t="s">
        <v>377</v>
      </c>
      <c r="E158" s="6" t="s">
        <v>25</v>
      </c>
      <c r="F158" s="5" t="n">
        <v>8.5</v>
      </c>
      <c r="G158" s="5" t="n">
        <v>6</v>
      </c>
      <c r="H158" s="5" t="n">
        <v>6</v>
      </c>
      <c r="I158" s="5" t="n">
        <v>7</v>
      </c>
      <c r="J158" s="5" t="n">
        <v>8</v>
      </c>
      <c r="K158" s="5" t="n">
        <v>4</v>
      </c>
      <c r="L158" s="8" t="n">
        <v>500</v>
      </c>
      <c r="M158" s="5" t="n">
        <v>7</v>
      </c>
      <c r="N158" s="5" t="n">
        <v>6</v>
      </c>
      <c r="O158" s="6" t="s">
        <v>61</v>
      </c>
      <c r="P158" s="5" t="s">
        <v>45</v>
      </c>
      <c r="Q158" s="5" t="n">
        <v>9</v>
      </c>
      <c r="R158" s="5" t="n">
        <v>7.5</v>
      </c>
      <c r="S158" s="5" t="n">
        <v>7.5</v>
      </c>
      <c r="T158" s="9" t="n">
        <f aca="false">ROUND(F158*0.15 + G158*0.08 + H158*0.08 + I158*0.1 + J158*0.08 + M158*0.1 + N158*0.05 + Q158*0.15 + R158*0.12 + S158*0.09, 2)</f>
        <v>7.5</v>
      </c>
    </row>
    <row r="159" customFormat="false" ht="15" hidden="false" customHeight="false" outlineLevel="0" collapsed="false">
      <c r="A159" s="10" t="n">
        <v>156</v>
      </c>
      <c r="B159" s="11" t="s">
        <v>369</v>
      </c>
      <c r="C159" s="11" t="s">
        <v>378</v>
      </c>
      <c r="D159" s="12" t="s">
        <v>379</v>
      </c>
      <c r="E159" s="11" t="s">
        <v>57</v>
      </c>
      <c r="F159" s="10" t="n">
        <v>8.8</v>
      </c>
      <c r="G159" s="10" t="n">
        <v>6</v>
      </c>
      <c r="H159" s="10" t="n">
        <v>5</v>
      </c>
      <c r="I159" s="10" t="n">
        <v>8</v>
      </c>
      <c r="J159" s="10" t="n">
        <v>8</v>
      </c>
      <c r="K159" s="10" t="n">
        <v>6</v>
      </c>
      <c r="L159" s="13" t="n">
        <v>600</v>
      </c>
      <c r="M159" s="10" t="n">
        <v>8</v>
      </c>
      <c r="N159" s="10" t="n">
        <v>7</v>
      </c>
      <c r="O159" s="11" t="s">
        <v>48</v>
      </c>
      <c r="P159" s="10" t="s">
        <v>32</v>
      </c>
      <c r="Q159" s="10" t="n">
        <v>8.5</v>
      </c>
      <c r="R159" s="10" t="n">
        <v>8</v>
      </c>
      <c r="S159" s="10" t="n">
        <v>7.5</v>
      </c>
      <c r="T159" s="14" t="n">
        <f aca="false">ROUND(F159*0.15 + G159*0.08 + H159*0.08 + I159*0.1 + J159*0.08 + M159*0.1 + N159*0.05 + Q159*0.15 + R159*0.12 + S159*0.09, 2)</f>
        <v>7.7</v>
      </c>
    </row>
    <row r="160" customFormat="false" ht="15" hidden="false" customHeight="false" outlineLevel="0" collapsed="false">
      <c r="A160" s="5" t="n">
        <v>157</v>
      </c>
      <c r="B160" s="6" t="s">
        <v>369</v>
      </c>
      <c r="C160" s="6" t="s">
        <v>374</v>
      </c>
      <c r="D160" s="7" t="s">
        <v>380</v>
      </c>
      <c r="E160" s="6" t="s">
        <v>92</v>
      </c>
      <c r="F160" s="5" t="n">
        <v>8</v>
      </c>
      <c r="G160" s="5" t="n">
        <v>6</v>
      </c>
      <c r="H160" s="5" t="n">
        <v>6</v>
      </c>
      <c r="I160" s="5" t="n">
        <v>7</v>
      </c>
      <c r="J160" s="5" t="n">
        <v>6</v>
      </c>
      <c r="K160" s="5" t="n">
        <v>4</v>
      </c>
      <c r="L160" s="8" t="n">
        <v>400</v>
      </c>
      <c r="M160" s="5" t="n">
        <v>7</v>
      </c>
      <c r="N160" s="5" t="n">
        <v>7</v>
      </c>
      <c r="O160" s="6" t="s">
        <v>26</v>
      </c>
      <c r="P160" s="5" t="s">
        <v>32</v>
      </c>
      <c r="Q160" s="5" t="n">
        <v>7</v>
      </c>
      <c r="R160" s="5" t="n">
        <v>7.5</v>
      </c>
      <c r="S160" s="5" t="n">
        <v>7.5</v>
      </c>
      <c r="T160" s="9" t="n">
        <f aca="false">ROUND(F160*0.15 + G160*0.08 + H160*0.08 + I160*0.1 + J160*0.08 + M160*0.1 + N160*0.05 + Q160*0.15 + R160*0.12 + S160*0.09, 2)</f>
        <v>7.02</v>
      </c>
    </row>
    <row r="161" customFormat="false" ht="15" hidden="false" customHeight="false" outlineLevel="0" collapsed="false">
      <c r="A161" s="10" t="n">
        <v>158</v>
      </c>
      <c r="B161" s="11" t="s">
        <v>369</v>
      </c>
      <c r="C161" s="11" t="s">
        <v>381</v>
      </c>
      <c r="D161" s="12" t="s">
        <v>382</v>
      </c>
      <c r="E161" s="11" t="s">
        <v>25</v>
      </c>
      <c r="F161" s="10" t="n">
        <v>8.3</v>
      </c>
      <c r="G161" s="10" t="n">
        <v>7</v>
      </c>
      <c r="H161" s="10" t="n">
        <v>7</v>
      </c>
      <c r="I161" s="10" t="n">
        <v>7</v>
      </c>
      <c r="J161" s="10" t="n">
        <v>8</v>
      </c>
      <c r="K161" s="10" t="n">
        <v>3</v>
      </c>
      <c r="L161" s="13" t="n">
        <v>350</v>
      </c>
      <c r="M161" s="10" t="n">
        <v>7</v>
      </c>
      <c r="N161" s="10" t="n">
        <v>8</v>
      </c>
      <c r="O161" s="11" t="s">
        <v>26</v>
      </c>
      <c r="P161" s="10" t="s">
        <v>27</v>
      </c>
      <c r="Q161" s="10" t="n">
        <v>8</v>
      </c>
      <c r="R161" s="10" t="n">
        <v>8</v>
      </c>
      <c r="S161" s="10" t="n">
        <v>9</v>
      </c>
      <c r="T161" s="14" t="n">
        <f aca="false">ROUND(F161*0.15 + G161*0.08 + H161*0.08 + I161*0.1 + J161*0.08 + M161*0.1 + N161*0.05 + Q161*0.15 + R161*0.12 + S161*0.09, 2)</f>
        <v>7.78</v>
      </c>
    </row>
    <row r="162" customFormat="false" ht="15" hidden="false" customHeight="false" outlineLevel="0" collapsed="false">
      <c r="A162" s="5" t="n">
        <v>159</v>
      </c>
      <c r="B162" s="6" t="s">
        <v>369</v>
      </c>
      <c r="C162" s="6" t="s">
        <v>383</v>
      </c>
      <c r="D162" s="7" t="s">
        <v>384</v>
      </c>
      <c r="E162" s="6" t="s">
        <v>385</v>
      </c>
      <c r="F162" s="5" t="n">
        <v>8.8</v>
      </c>
      <c r="G162" s="5" t="n">
        <v>7</v>
      </c>
      <c r="H162" s="5" t="n">
        <v>8</v>
      </c>
      <c r="I162" s="5" t="n">
        <v>8</v>
      </c>
      <c r="J162" s="5" t="n">
        <v>8</v>
      </c>
      <c r="K162" s="5" t="n">
        <v>3</v>
      </c>
      <c r="L162" s="8" t="n">
        <v>450</v>
      </c>
      <c r="M162" s="5" t="n">
        <v>9</v>
      </c>
      <c r="N162" s="5" t="n">
        <v>8</v>
      </c>
      <c r="O162" s="6" t="s">
        <v>36</v>
      </c>
      <c r="P162" s="5" t="s">
        <v>386</v>
      </c>
      <c r="Q162" s="5" t="n">
        <v>8.5</v>
      </c>
      <c r="R162" s="5" t="n">
        <v>8.5</v>
      </c>
      <c r="S162" s="5" t="n">
        <v>9</v>
      </c>
      <c r="T162" s="9" t="n">
        <f aca="false">ROUND(F162*0.15 + G162*0.08 + H162*0.08 + I162*0.1 + J162*0.08 + M162*0.1 + N162*0.05 + Q162*0.15 + R162*0.12 + S162*0.09, 2)</f>
        <v>8.37</v>
      </c>
    </row>
    <row r="163" customFormat="false" ht="15" hidden="false" customHeight="false" outlineLevel="0" collapsed="false">
      <c r="A163" s="10" t="n">
        <v>160</v>
      </c>
      <c r="B163" s="11" t="s">
        <v>369</v>
      </c>
      <c r="C163" s="11" t="s">
        <v>387</v>
      </c>
      <c r="D163" s="12" t="s">
        <v>388</v>
      </c>
      <c r="E163" s="11" t="s">
        <v>25</v>
      </c>
      <c r="F163" s="10" t="n">
        <v>8.7</v>
      </c>
      <c r="G163" s="10" t="n">
        <v>7</v>
      </c>
      <c r="H163" s="10" t="n">
        <v>6</v>
      </c>
      <c r="I163" s="10" t="n">
        <v>9</v>
      </c>
      <c r="J163" s="10" t="n">
        <v>7</v>
      </c>
      <c r="K163" s="10" t="n">
        <v>5</v>
      </c>
      <c r="L163" s="13" t="n">
        <v>450</v>
      </c>
      <c r="M163" s="10" t="n">
        <v>7</v>
      </c>
      <c r="N163" s="10" t="n">
        <v>7</v>
      </c>
      <c r="O163" s="11" t="s">
        <v>26</v>
      </c>
      <c r="P163" s="10" t="s">
        <v>198</v>
      </c>
      <c r="Q163" s="10" t="n">
        <v>8.5</v>
      </c>
      <c r="R163" s="10" t="n">
        <v>8.5</v>
      </c>
      <c r="S163" s="10" t="n">
        <v>8</v>
      </c>
      <c r="T163" s="14" t="n">
        <f aca="false">ROUND(F163*0.15 + G163*0.08 + H163*0.08 + I163*0.1 + J163*0.08 + M163*0.1 + N163*0.05 + Q163*0.15 + R163*0.12 + S163*0.09, 2)</f>
        <v>7.87</v>
      </c>
    </row>
    <row r="164" customFormat="false" ht="15" hidden="false" customHeight="false" outlineLevel="0" collapsed="false">
      <c r="A164" s="5" t="n">
        <v>161</v>
      </c>
      <c r="B164" s="6" t="s">
        <v>369</v>
      </c>
      <c r="C164" s="6" t="s">
        <v>389</v>
      </c>
      <c r="D164" s="7" t="s">
        <v>390</v>
      </c>
      <c r="E164" s="6" t="s">
        <v>71</v>
      </c>
      <c r="F164" s="5" t="n">
        <v>8</v>
      </c>
      <c r="G164" s="5" t="n">
        <v>6</v>
      </c>
      <c r="H164" s="5" t="n">
        <v>4</v>
      </c>
      <c r="I164" s="5" t="n">
        <v>7</v>
      </c>
      <c r="J164" s="5" t="n">
        <v>7</v>
      </c>
      <c r="K164" s="5" t="n">
        <v>5</v>
      </c>
      <c r="L164" s="8" t="n">
        <v>350</v>
      </c>
      <c r="M164" s="5" t="n">
        <v>6</v>
      </c>
      <c r="N164" s="5" t="n">
        <v>6</v>
      </c>
      <c r="O164" s="6" t="s">
        <v>48</v>
      </c>
      <c r="P164" s="5" t="s">
        <v>32</v>
      </c>
      <c r="Q164" s="5" t="n">
        <v>7.5</v>
      </c>
      <c r="R164" s="5" t="n">
        <v>7</v>
      </c>
      <c r="S164" s="5" t="n">
        <v>8</v>
      </c>
      <c r="T164" s="9" t="n">
        <f aca="false">ROUND(F164*0.15 + G164*0.08 + H164*0.08 + I164*0.1 + J164*0.08 + M164*0.1 + N164*0.05 + Q164*0.15 + R164*0.12 + S164*0.09, 2)</f>
        <v>6.85</v>
      </c>
    </row>
    <row r="165" customFormat="false" ht="15" hidden="false" customHeight="false" outlineLevel="0" collapsed="false">
      <c r="A165" s="10" t="n">
        <v>162</v>
      </c>
      <c r="B165" s="11" t="s">
        <v>369</v>
      </c>
      <c r="C165" s="11" t="s">
        <v>389</v>
      </c>
      <c r="D165" s="12" t="s">
        <v>391</v>
      </c>
      <c r="E165" s="11" t="s">
        <v>80</v>
      </c>
      <c r="F165" s="10" t="n">
        <v>8.2</v>
      </c>
      <c r="G165" s="10" t="n">
        <v>8</v>
      </c>
      <c r="H165" s="10" t="n">
        <v>5</v>
      </c>
      <c r="I165" s="10" t="n">
        <v>7</v>
      </c>
      <c r="J165" s="10" t="n">
        <v>6</v>
      </c>
      <c r="K165" s="10" t="n">
        <v>4</v>
      </c>
      <c r="L165" s="13" t="n">
        <v>400</v>
      </c>
      <c r="M165" s="10" t="n">
        <v>6</v>
      </c>
      <c r="N165" s="10" t="n">
        <v>8</v>
      </c>
      <c r="O165" s="11" t="s">
        <v>36</v>
      </c>
      <c r="P165" s="11" t="s">
        <v>195</v>
      </c>
      <c r="Q165" s="10" t="n">
        <v>8</v>
      </c>
      <c r="R165" s="10" t="n">
        <v>7.5</v>
      </c>
      <c r="S165" s="10" t="n">
        <v>7.5</v>
      </c>
      <c r="T165" s="14" t="n">
        <f aca="false">ROUND(F165*0.15 + G165*0.08 + H165*0.08 + I165*0.1 + J165*0.08 + M165*0.1 + N165*0.05 + Q165*0.15 + R165*0.12 + S165*0.09, 2)</f>
        <v>7.23</v>
      </c>
    </row>
    <row r="166" customFormat="false" ht="15" hidden="false" customHeight="false" outlineLevel="0" collapsed="false">
      <c r="A166" s="5" t="n">
        <v>163</v>
      </c>
      <c r="B166" s="6" t="s">
        <v>369</v>
      </c>
      <c r="C166" s="6" t="s">
        <v>372</v>
      </c>
      <c r="D166" s="7" t="s">
        <v>392</v>
      </c>
      <c r="E166" s="6" t="s">
        <v>184</v>
      </c>
      <c r="F166" s="5" t="n">
        <v>8</v>
      </c>
      <c r="G166" s="5" t="n">
        <v>6</v>
      </c>
      <c r="H166" s="5" t="n">
        <v>5</v>
      </c>
      <c r="I166" s="5" t="n">
        <v>7</v>
      </c>
      <c r="J166" s="5" t="n">
        <v>6</v>
      </c>
      <c r="K166" s="5" t="n">
        <v>4</v>
      </c>
      <c r="L166" s="8" t="n">
        <v>350</v>
      </c>
      <c r="M166" s="5" t="n">
        <v>6</v>
      </c>
      <c r="N166" s="5" t="n">
        <v>5</v>
      </c>
      <c r="O166" s="6" t="s">
        <v>68</v>
      </c>
      <c r="P166" s="5" t="s">
        <v>69</v>
      </c>
      <c r="Q166" s="5" t="n">
        <v>7.5</v>
      </c>
      <c r="R166" s="5" t="n">
        <v>7</v>
      </c>
      <c r="S166" s="5" t="n">
        <v>7.5</v>
      </c>
      <c r="T166" s="9" t="n">
        <f aca="false">ROUND(F166*0.15 + G166*0.08 + H166*0.08 + I166*0.1 + J166*0.08 + M166*0.1 + N166*0.05 + Q166*0.15 + R166*0.12 + S166*0.09, 2)</f>
        <v>6.75</v>
      </c>
    </row>
    <row r="167" customFormat="false" ht="15" hidden="false" customHeight="false" outlineLevel="0" collapsed="false">
      <c r="A167" s="10" t="n">
        <v>164</v>
      </c>
      <c r="B167" s="11" t="s">
        <v>369</v>
      </c>
      <c r="C167" s="11" t="s">
        <v>393</v>
      </c>
      <c r="D167" s="12" t="s">
        <v>394</v>
      </c>
      <c r="E167" s="11" t="s">
        <v>71</v>
      </c>
      <c r="F167" s="10" t="n">
        <v>8</v>
      </c>
      <c r="G167" s="10" t="n">
        <v>5</v>
      </c>
      <c r="H167" s="10" t="n">
        <v>4</v>
      </c>
      <c r="I167" s="10" t="n">
        <v>7</v>
      </c>
      <c r="J167" s="10" t="n">
        <v>7</v>
      </c>
      <c r="K167" s="10" t="n">
        <v>4</v>
      </c>
      <c r="L167" s="13" t="n">
        <v>350</v>
      </c>
      <c r="M167" s="10" t="n">
        <v>7</v>
      </c>
      <c r="N167" s="10" t="n">
        <v>6</v>
      </c>
      <c r="O167" s="11" t="s">
        <v>26</v>
      </c>
      <c r="P167" s="10" t="s">
        <v>27</v>
      </c>
      <c r="Q167" s="10" t="n">
        <v>7</v>
      </c>
      <c r="R167" s="10" t="n">
        <v>7</v>
      </c>
      <c r="S167" s="10" t="n">
        <v>7.5</v>
      </c>
      <c r="T167" s="14" t="n">
        <f aca="false">ROUND(F167*0.15 + G167*0.08 + H167*0.08 + I167*0.1 + J167*0.08 + M167*0.1 + N167*0.05 + Q167*0.15 + R167*0.12 + S167*0.09, 2)</f>
        <v>6.75</v>
      </c>
    </row>
    <row r="168" customFormat="false" ht="15" hidden="false" customHeight="false" outlineLevel="0" collapsed="false">
      <c r="A168" s="5" t="n">
        <v>165</v>
      </c>
      <c r="B168" s="6" t="s">
        <v>369</v>
      </c>
      <c r="C168" s="6" t="s">
        <v>378</v>
      </c>
      <c r="D168" s="7" t="s">
        <v>395</v>
      </c>
      <c r="E168" s="6" t="s">
        <v>396</v>
      </c>
      <c r="F168" s="5" t="n">
        <v>8.8</v>
      </c>
      <c r="G168" s="5" t="n">
        <v>7</v>
      </c>
      <c r="H168" s="5" t="n">
        <v>7</v>
      </c>
      <c r="I168" s="5" t="n">
        <v>9</v>
      </c>
      <c r="J168" s="5" t="n">
        <v>8</v>
      </c>
      <c r="K168" s="5" t="n">
        <v>4</v>
      </c>
      <c r="L168" s="8" t="n">
        <v>700</v>
      </c>
      <c r="M168" s="5" t="n">
        <v>9</v>
      </c>
      <c r="N168" s="5" t="n">
        <v>7</v>
      </c>
      <c r="O168" s="6" t="s">
        <v>68</v>
      </c>
      <c r="P168" s="5" t="s">
        <v>45</v>
      </c>
      <c r="Q168" s="5" t="n">
        <v>8</v>
      </c>
      <c r="R168" s="5" t="n">
        <v>8.5</v>
      </c>
      <c r="S168" s="5" t="n">
        <v>7.5</v>
      </c>
      <c r="T168" s="9" t="n">
        <f aca="false">ROUND(F168*0.15 + G168*0.08 + H168*0.08 + I168*0.1 + J168*0.08 + M168*0.1 + N168*0.05 + Q168*0.15 + R168*0.12 + S168*0.09, 2)</f>
        <v>8.13</v>
      </c>
    </row>
    <row r="169" customFormat="false" ht="15" hidden="false" customHeight="false" outlineLevel="0" collapsed="false">
      <c r="A169" s="10" t="n">
        <v>166</v>
      </c>
      <c r="B169" s="11" t="s">
        <v>369</v>
      </c>
      <c r="C169" s="11" t="s">
        <v>376</v>
      </c>
      <c r="D169" s="12" t="s">
        <v>397</v>
      </c>
      <c r="E169" s="11" t="s">
        <v>398</v>
      </c>
      <c r="F169" s="10" t="n">
        <v>8.2</v>
      </c>
      <c r="G169" s="10" t="n">
        <v>7</v>
      </c>
      <c r="H169" s="10" t="n">
        <v>6</v>
      </c>
      <c r="I169" s="10" t="n">
        <v>7</v>
      </c>
      <c r="J169" s="10" t="n">
        <v>6</v>
      </c>
      <c r="K169" s="10" t="n">
        <v>4</v>
      </c>
      <c r="L169" s="13" t="n">
        <v>500</v>
      </c>
      <c r="M169" s="10" t="n">
        <v>7</v>
      </c>
      <c r="N169" s="10" t="n">
        <v>7</v>
      </c>
      <c r="O169" s="11" t="s">
        <v>61</v>
      </c>
      <c r="P169" s="10" t="s">
        <v>45</v>
      </c>
      <c r="Q169" s="10" t="n">
        <v>7</v>
      </c>
      <c r="R169" s="10" t="n">
        <v>8</v>
      </c>
      <c r="S169" s="10" t="n">
        <v>7</v>
      </c>
      <c r="T169" s="14" t="n">
        <f aca="false">ROUND(F169*0.15 + G169*0.08 + H169*0.08 + I169*0.1 + J169*0.08 + M169*0.1 + N169*0.05 + Q169*0.15 + R169*0.12 + S169*0.09, 2)</f>
        <v>7.14</v>
      </c>
    </row>
    <row r="170" customFormat="false" ht="15" hidden="false" customHeight="false" outlineLevel="0" collapsed="false">
      <c r="A170" s="5" t="n">
        <v>167</v>
      </c>
      <c r="B170" s="6" t="s">
        <v>369</v>
      </c>
      <c r="C170" s="6" t="s">
        <v>399</v>
      </c>
      <c r="D170" s="7" t="s">
        <v>400</v>
      </c>
      <c r="E170" s="6" t="s">
        <v>57</v>
      </c>
      <c r="F170" s="5" t="n">
        <v>8</v>
      </c>
      <c r="G170" s="5" t="n">
        <v>5</v>
      </c>
      <c r="H170" s="5" t="n">
        <v>4</v>
      </c>
      <c r="I170" s="5" t="n">
        <v>7</v>
      </c>
      <c r="J170" s="5" t="n">
        <v>7</v>
      </c>
      <c r="K170" s="5" t="n">
        <v>5</v>
      </c>
      <c r="L170" s="8" t="n">
        <v>350</v>
      </c>
      <c r="M170" s="5" t="n">
        <v>6</v>
      </c>
      <c r="N170" s="5" t="n">
        <v>6</v>
      </c>
      <c r="O170" s="6" t="s">
        <v>26</v>
      </c>
      <c r="P170" s="5" t="s">
        <v>27</v>
      </c>
      <c r="Q170" s="5" t="n">
        <v>7.5</v>
      </c>
      <c r="R170" s="5" t="n">
        <v>7</v>
      </c>
      <c r="S170" s="5" t="n">
        <v>8</v>
      </c>
      <c r="T170" s="9" t="n">
        <f aca="false">ROUND(F170*0.15 + G170*0.08 + H170*0.08 + I170*0.1 + J170*0.08 + M170*0.1 + N170*0.05 + Q170*0.15 + R170*0.12 + S170*0.09, 2)</f>
        <v>6.77</v>
      </c>
    </row>
    <row r="171" customFormat="false" ht="15" hidden="false" customHeight="false" outlineLevel="0" collapsed="false">
      <c r="A171" s="10" t="n">
        <v>168</v>
      </c>
      <c r="B171" s="11" t="s">
        <v>401</v>
      </c>
      <c r="C171" s="11" t="s">
        <v>402</v>
      </c>
      <c r="D171" s="12" t="s">
        <v>403</v>
      </c>
      <c r="E171" s="11" t="s">
        <v>92</v>
      </c>
      <c r="F171" s="10" t="n">
        <v>9</v>
      </c>
      <c r="G171" s="10" t="n">
        <v>7</v>
      </c>
      <c r="H171" s="10" t="n">
        <v>5</v>
      </c>
      <c r="I171" s="10" t="n">
        <v>8</v>
      </c>
      <c r="J171" s="10" t="n">
        <v>8</v>
      </c>
      <c r="K171" s="10" t="n">
        <v>5</v>
      </c>
      <c r="L171" s="13" t="n">
        <v>450</v>
      </c>
      <c r="M171" s="10" t="n">
        <v>8</v>
      </c>
      <c r="N171" s="10" t="n">
        <v>7</v>
      </c>
      <c r="O171" s="11" t="s">
        <v>26</v>
      </c>
      <c r="P171" s="10" t="s">
        <v>293</v>
      </c>
      <c r="Q171" s="10" t="n">
        <v>9.5</v>
      </c>
      <c r="R171" s="10" t="n">
        <v>8</v>
      </c>
      <c r="S171" s="10" t="n">
        <v>8</v>
      </c>
      <c r="T171" s="14" t="n">
        <f aca="false">ROUND(F171*0.15 + G171*0.08 + H171*0.08 + I171*0.1 + J171*0.08 + M171*0.1 + N171*0.05 + Q171*0.15 + R171*0.12 + S171*0.09, 2)</f>
        <v>8.01</v>
      </c>
    </row>
    <row r="172" customFormat="false" ht="15" hidden="false" customHeight="false" outlineLevel="0" collapsed="false">
      <c r="A172" s="5" t="n">
        <v>169</v>
      </c>
      <c r="B172" s="6" t="s">
        <v>401</v>
      </c>
      <c r="C172" s="6" t="s">
        <v>404</v>
      </c>
      <c r="D172" s="7" t="s">
        <v>405</v>
      </c>
      <c r="E172" s="6" t="s">
        <v>25</v>
      </c>
      <c r="F172" s="5" t="n">
        <v>9.3</v>
      </c>
      <c r="G172" s="5" t="n">
        <v>6</v>
      </c>
      <c r="H172" s="5" t="n">
        <v>5</v>
      </c>
      <c r="I172" s="5" t="n">
        <v>9</v>
      </c>
      <c r="J172" s="5" t="n">
        <v>9</v>
      </c>
      <c r="K172" s="5" t="n">
        <v>4</v>
      </c>
      <c r="L172" s="8" t="n">
        <v>500</v>
      </c>
      <c r="M172" s="5" t="n">
        <v>8</v>
      </c>
      <c r="N172" s="5" t="n">
        <v>7</v>
      </c>
      <c r="O172" s="6" t="s">
        <v>26</v>
      </c>
      <c r="P172" s="5" t="s">
        <v>293</v>
      </c>
      <c r="Q172" s="5" t="n">
        <v>10</v>
      </c>
      <c r="R172" s="5" t="n">
        <v>8.5</v>
      </c>
      <c r="S172" s="5" t="n">
        <v>8</v>
      </c>
      <c r="T172" s="9" t="n">
        <f aca="false">ROUND(F172*0.15 + G172*0.08 + H172*0.08 + I172*0.1 + J172*0.08 + M172*0.1 + N172*0.05 + Q172*0.15 + R172*0.12 + S172*0.09, 2)</f>
        <v>8.29</v>
      </c>
    </row>
    <row r="173" customFormat="false" ht="15" hidden="false" customHeight="false" outlineLevel="0" collapsed="false">
      <c r="A173" s="10" t="n">
        <v>170</v>
      </c>
      <c r="B173" s="11" t="s">
        <v>401</v>
      </c>
      <c r="C173" s="11" t="s">
        <v>406</v>
      </c>
      <c r="D173" s="12" t="s">
        <v>407</v>
      </c>
      <c r="E173" s="11" t="s">
        <v>71</v>
      </c>
      <c r="F173" s="10" t="n">
        <v>9</v>
      </c>
      <c r="G173" s="10" t="n">
        <v>6</v>
      </c>
      <c r="H173" s="10" t="n">
        <v>5</v>
      </c>
      <c r="I173" s="10" t="n">
        <v>8</v>
      </c>
      <c r="J173" s="10" t="n">
        <v>7</v>
      </c>
      <c r="K173" s="10" t="n">
        <v>6</v>
      </c>
      <c r="L173" s="13" t="n">
        <v>500</v>
      </c>
      <c r="M173" s="10" t="n">
        <v>7</v>
      </c>
      <c r="N173" s="10" t="n">
        <v>6</v>
      </c>
      <c r="O173" s="11" t="s">
        <v>31</v>
      </c>
      <c r="P173" s="10" t="s">
        <v>32</v>
      </c>
      <c r="Q173" s="10" t="n">
        <v>8.5</v>
      </c>
      <c r="R173" s="10" t="n">
        <v>8.5</v>
      </c>
      <c r="S173" s="10" t="n">
        <v>8</v>
      </c>
      <c r="T173" s="14" t="n">
        <f aca="false">ROUND(F173*0.15 + G173*0.08 + H173*0.08 + I173*0.1 + J173*0.08 + M173*0.1 + N173*0.05 + Q173*0.15 + R173*0.12 + S173*0.09, 2)</f>
        <v>7.61</v>
      </c>
    </row>
    <row r="174" customFormat="false" ht="15" hidden="false" customHeight="false" outlineLevel="0" collapsed="false">
      <c r="A174" s="5" t="n">
        <v>171</v>
      </c>
      <c r="B174" s="6" t="s">
        <v>401</v>
      </c>
      <c r="C174" s="6" t="s">
        <v>408</v>
      </c>
      <c r="D174" s="7" t="s">
        <v>409</v>
      </c>
      <c r="E174" s="6" t="s">
        <v>25</v>
      </c>
      <c r="F174" s="5" t="n">
        <v>8.7</v>
      </c>
      <c r="G174" s="5" t="n">
        <v>8</v>
      </c>
      <c r="H174" s="5" t="n">
        <v>7</v>
      </c>
      <c r="I174" s="5" t="n">
        <v>8</v>
      </c>
      <c r="J174" s="5" t="n">
        <v>7</v>
      </c>
      <c r="K174" s="5" t="n">
        <v>5</v>
      </c>
      <c r="L174" s="8" t="n">
        <v>400</v>
      </c>
      <c r="M174" s="5" t="n">
        <v>8</v>
      </c>
      <c r="N174" s="5" t="n">
        <v>8</v>
      </c>
      <c r="O174" s="6" t="s">
        <v>26</v>
      </c>
      <c r="P174" s="5" t="s">
        <v>27</v>
      </c>
      <c r="Q174" s="5" t="n">
        <v>8</v>
      </c>
      <c r="R174" s="5" t="n">
        <v>8.5</v>
      </c>
      <c r="S174" s="5" t="n">
        <v>8</v>
      </c>
      <c r="T174" s="9" t="n">
        <f aca="false">ROUND(F174*0.15 + G174*0.08 + H174*0.08 + I174*0.1 + J174*0.08 + M174*0.1 + N174*0.05 + Q174*0.15 + R174*0.12 + S174*0.09, 2)</f>
        <v>8.01</v>
      </c>
    </row>
    <row r="175" customFormat="false" ht="15" hidden="false" customHeight="false" outlineLevel="0" collapsed="false">
      <c r="A175" s="10" t="n">
        <v>172</v>
      </c>
      <c r="B175" s="11" t="s">
        <v>401</v>
      </c>
      <c r="C175" s="11" t="s">
        <v>404</v>
      </c>
      <c r="D175" s="12" t="s">
        <v>410</v>
      </c>
      <c r="E175" s="11" t="s">
        <v>71</v>
      </c>
      <c r="F175" s="10" t="n">
        <v>8.5</v>
      </c>
      <c r="G175" s="10" t="n">
        <v>5</v>
      </c>
      <c r="H175" s="10" t="n">
        <v>4</v>
      </c>
      <c r="I175" s="10" t="n">
        <v>8</v>
      </c>
      <c r="J175" s="10" t="n">
        <v>7</v>
      </c>
      <c r="K175" s="10" t="n">
        <v>6</v>
      </c>
      <c r="L175" s="13" t="n">
        <v>450</v>
      </c>
      <c r="M175" s="10" t="n">
        <v>6</v>
      </c>
      <c r="N175" s="10" t="n">
        <v>5</v>
      </c>
      <c r="O175" s="11" t="s">
        <v>61</v>
      </c>
      <c r="P175" s="10" t="s">
        <v>45</v>
      </c>
      <c r="Q175" s="10" t="n">
        <v>8</v>
      </c>
      <c r="R175" s="10" t="n">
        <v>7</v>
      </c>
      <c r="S175" s="10" t="n">
        <v>7.5</v>
      </c>
      <c r="T175" s="14" t="n">
        <f aca="false">ROUND(F175*0.15 + G175*0.08 + H175*0.08 + I175*0.1 + J175*0.08 + M175*0.1 + N175*0.05 + Q175*0.15 + R175*0.12 + S175*0.09, 2)</f>
        <v>6.92</v>
      </c>
    </row>
    <row r="176" customFormat="false" ht="15" hidden="false" customHeight="false" outlineLevel="0" collapsed="false">
      <c r="A176" s="5" t="n">
        <v>173</v>
      </c>
      <c r="B176" s="6" t="s">
        <v>401</v>
      </c>
      <c r="C176" s="6" t="s">
        <v>411</v>
      </c>
      <c r="D176" s="7" t="s">
        <v>412</v>
      </c>
      <c r="E176" s="6" t="s">
        <v>47</v>
      </c>
      <c r="F176" s="5" t="n">
        <v>8.5</v>
      </c>
      <c r="G176" s="5" t="n">
        <v>5</v>
      </c>
      <c r="H176" s="5" t="n">
        <v>6</v>
      </c>
      <c r="I176" s="5" t="n">
        <v>7</v>
      </c>
      <c r="J176" s="5" t="n">
        <v>8</v>
      </c>
      <c r="K176" s="5" t="n">
        <v>3</v>
      </c>
      <c r="L176" s="8" t="n">
        <v>350</v>
      </c>
      <c r="M176" s="5" t="n">
        <v>7</v>
      </c>
      <c r="N176" s="5" t="n">
        <v>8</v>
      </c>
      <c r="O176" s="6" t="s">
        <v>36</v>
      </c>
      <c r="P176" s="5" t="s">
        <v>37</v>
      </c>
      <c r="Q176" s="5" t="n">
        <v>9.5</v>
      </c>
      <c r="R176" s="5" t="n">
        <v>7.5</v>
      </c>
      <c r="S176" s="5" t="n">
        <v>8</v>
      </c>
      <c r="T176" s="9" t="n">
        <f aca="false">ROUND(F176*0.15 + G176*0.08 + H176*0.08 + I176*0.1 + J176*0.08 + M176*0.1 + N176*0.05 + Q176*0.15 + R176*0.12 + S176*0.09, 2)</f>
        <v>7.64</v>
      </c>
    </row>
    <row r="177" customFormat="false" ht="15" hidden="false" customHeight="false" outlineLevel="0" collapsed="false">
      <c r="A177" s="10" t="n">
        <v>174</v>
      </c>
      <c r="B177" s="11" t="s">
        <v>401</v>
      </c>
      <c r="C177" s="11" t="s">
        <v>404</v>
      </c>
      <c r="D177" s="12" t="s">
        <v>413</v>
      </c>
      <c r="E177" s="11" t="s">
        <v>108</v>
      </c>
      <c r="F177" s="10" t="n">
        <v>8.3</v>
      </c>
      <c r="G177" s="10" t="n">
        <v>5</v>
      </c>
      <c r="H177" s="10" t="n">
        <v>4</v>
      </c>
      <c r="I177" s="10" t="n">
        <v>7</v>
      </c>
      <c r="J177" s="10" t="n">
        <v>7</v>
      </c>
      <c r="K177" s="10" t="n">
        <v>4</v>
      </c>
      <c r="L177" s="13" t="n">
        <v>400</v>
      </c>
      <c r="M177" s="10" t="n">
        <v>6</v>
      </c>
      <c r="N177" s="10" t="n">
        <v>6</v>
      </c>
      <c r="O177" s="11" t="s">
        <v>61</v>
      </c>
      <c r="P177" s="10" t="s">
        <v>45</v>
      </c>
      <c r="Q177" s="10" t="n">
        <v>7.5</v>
      </c>
      <c r="R177" s="10" t="n">
        <v>7</v>
      </c>
      <c r="S177" s="10" t="n">
        <v>7.5</v>
      </c>
      <c r="T177" s="14" t="n">
        <f aca="false">ROUND(F177*0.15 + G177*0.08 + H177*0.08 + I177*0.1 + J177*0.08 + M177*0.1 + N177*0.05 + Q177*0.15 + R177*0.12 + S177*0.09, 2)</f>
        <v>6.77</v>
      </c>
    </row>
    <row r="178" customFormat="false" ht="15" hidden="false" customHeight="false" outlineLevel="0" collapsed="false">
      <c r="A178" s="5" t="n">
        <v>175</v>
      </c>
      <c r="B178" s="6" t="s">
        <v>401</v>
      </c>
      <c r="C178" s="6" t="s">
        <v>414</v>
      </c>
      <c r="D178" s="7" t="s">
        <v>415</v>
      </c>
      <c r="E178" s="6" t="s">
        <v>57</v>
      </c>
      <c r="F178" s="5" t="n">
        <v>8</v>
      </c>
      <c r="G178" s="5" t="n">
        <v>5</v>
      </c>
      <c r="H178" s="5" t="n">
        <v>4</v>
      </c>
      <c r="I178" s="5" t="n">
        <v>7</v>
      </c>
      <c r="J178" s="5" t="n">
        <v>7</v>
      </c>
      <c r="K178" s="5" t="n">
        <v>5</v>
      </c>
      <c r="L178" s="8" t="n">
        <v>350</v>
      </c>
      <c r="M178" s="5" t="n">
        <v>6</v>
      </c>
      <c r="N178" s="5" t="n">
        <v>6</v>
      </c>
      <c r="O178" s="6" t="s">
        <v>26</v>
      </c>
      <c r="P178" s="5" t="s">
        <v>27</v>
      </c>
      <c r="Q178" s="5" t="n">
        <v>7</v>
      </c>
      <c r="R178" s="5" t="n">
        <v>7</v>
      </c>
      <c r="S178" s="5" t="n">
        <v>8</v>
      </c>
      <c r="T178" s="9" t="n">
        <f aca="false">ROUND(F178*0.15 + G178*0.08 + H178*0.08 + I178*0.1 + J178*0.08 + M178*0.1 + N178*0.05 + Q178*0.15 + R178*0.12 + S178*0.09, 2)</f>
        <v>6.69</v>
      </c>
    </row>
    <row r="179" customFormat="false" ht="15" hidden="false" customHeight="false" outlineLevel="0" collapsed="false">
      <c r="A179" s="10" t="n">
        <v>176</v>
      </c>
      <c r="B179" s="11" t="s">
        <v>401</v>
      </c>
      <c r="C179" s="11" t="s">
        <v>416</v>
      </c>
      <c r="D179" s="12" t="s">
        <v>417</v>
      </c>
      <c r="E179" s="11" t="s">
        <v>71</v>
      </c>
      <c r="F179" s="10" t="n">
        <v>8.2</v>
      </c>
      <c r="G179" s="10" t="n">
        <v>5</v>
      </c>
      <c r="H179" s="10" t="n">
        <v>4</v>
      </c>
      <c r="I179" s="10" t="n">
        <v>7</v>
      </c>
      <c r="J179" s="10" t="n">
        <v>7</v>
      </c>
      <c r="K179" s="10" t="n">
        <v>5</v>
      </c>
      <c r="L179" s="13" t="n">
        <v>400</v>
      </c>
      <c r="M179" s="10" t="n">
        <v>6</v>
      </c>
      <c r="N179" s="10" t="n">
        <v>5</v>
      </c>
      <c r="O179" s="11" t="s">
        <v>61</v>
      </c>
      <c r="P179" s="10" t="s">
        <v>45</v>
      </c>
      <c r="Q179" s="10" t="n">
        <v>7.5</v>
      </c>
      <c r="R179" s="10" t="n">
        <v>7</v>
      </c>
      <c r="S179" s="10" t="n">
        <v>7.5</v>
      </c>
      <c r="T179" s="14" t="n">
        <f aca="false">ROUND(F179*0.15 + G179*0.08 + H179*0.08 + I179*0.1 + J179*0.08 + M179*0.1 + N179*0.05 + Q179*0.15 + R179*0.12 + S179*0.09, 2)</f>
        <v>6.7</v>
      </c>
    </row>
    <row r="180" customFormat="false" ht="15" hidden="false" customHeight="false" outlineLevel="0" collapsed="false">
      <c r="A180" s="5" t="n">
        <v>177</v>
      </c>
      <c r="B180" s="6" t="s">
        <v>401</v>
      </c>
      <c r="C180" s="6" t="s">
        <v>411</v>
      </c>
      <c r="D180" s="7" t="s">
        <v>418</v>
      </c>
      <c r="E180" s="6" t="s">
        <v>419</v>
      </c>
      <c r="F180" s="5" t="n">
        <v>8.5</v>
      </c>
      <c r="G180" s="5" t="n">
        <v>5</v>
      </c>
      <c r="H180" s="5" t="n">
        <v>4</v>
      </c>
      <c r="I180" s="5" t="n">
        <v>7</v>
      </c>
      <c r="J180" s="5" t="n">
        <v>7</v>
      </c>
      <c r="K180" s="5" t="n">
        <v>6</v>
      </c>
      <c r="L180" s="8" t="n">
        <v>400</v>
      </c>
      <c r="M180" s="5" t="n">
        <v>6</v>
      </c>
      <c r="N180" s="5" t="n">
        <v>6</v>
      </c>
      <c r="O180" s="6" t="s">
        <v>61</v>
      </c>
      <c r="P180" s="5" t="s">
        <v>45</v>
      </c>
      <c r="Q180" s="5" t="n">
        <v>8.5</v>
      </c>
      <c r="R180" s="5" t="n">
        <v>7</v>
      </c>
      <c r="S180" s="5" t="n">
        <v>7.5</v>
      </c>
      <c r="T180" s="9" t="n">
        <f aca="false">ROUND(F180*0.15 + G180*0.08 + H180*0.08 + I180*0.1 + J180*0.08 + M180*0.1 + N180*0.05 + Q180*0.15 + R180*0.12 + S180*0.09, 2)</f>
        <v>6.95</v>
      </c>
    </row>
    <row r="181" customFormat="false" ht="15" hidden="false" customHeight="false" outlineLevel="0" collapsed="false">
      <c r="A181" s="10" t="n">
        <v>178</v>
      </c>
      <c r="B181" s="11" t="s">
        <v>401</v>
      </c>
      <c r="C181" s="11" t="s">
        <v>404</v>
      </c>
      <c r="D181" s="12" t="s">
        <v>420</v>
      </c>
      <c r="E181" s="11" t="s">
        <v>71</v>
      </c>
      <c r="F181" s="10" t="n">
        <v>9</v>
      </c>
      <c r="G181" s="10" t="n">
        <v>5</v>
      </c>
      <c r="H181" s="10" t="n">
        <v>4</v>
      </c>
      <c r="I181" s="10" t="n">
        <v>8</v>
      </c>
      <c r="J181" s="10" t="n">
        <v>7</v>
      </c>
      <c r="K181" s="10" t="n">
        <v>6</v>
      </c>
      <c r="L181" s="13" t="n">
        <v>500</v>
      </c>
      <c r="M181" s="10" t="n">
        <v>6</v>
      </c>
      <c r="N181" s="10" t="n">
        <v>5</v>
      </c>
      <c r="O181" s="11" t="s">
        <v>61</v>
      </c>
      <c r="P181" s="10" t="s">
        <v>45</v>
      </c>
      <c r="Q181" s="10" t="n">
        <v>8.5</v>
      </c>
      <c r="R181" s="10" t="n">
        <v>8</v>
      </c>
      <c r="S181" s="10" t="n">
        <v>7.5</v>
      </c>
      <c r="T181" s="14" t="n">
        <f aca="false">ROUND(F181*0.15 + G181*0.08 + H181*0.08 + I181*0.1 + J181*0.08 + M181*0.1 + N181*0.05 + Q181*0.15 + R181*0.12 + S181*0.09, 2)</f>
        <v>7.19</v>
      </c>
    </row>
    <row r="182" customFormat="false" ht="15" hidden="false" customHeight="false" outlineLevel="0" collapsed="false">
      <c r="A182" s="5" t="n">
        <v>179</v>
      </c>
      <c r="B182" s="6" t="s">
        <v>401</v>
      </c>
      <c r="C182" s="6" t="s">
        <v>421</v>
      </c>
      <c r="D182" s="7" t="s">
        <v>422</v>
      </c>
      <c r="E182" s="6" t="s">
        <v>423</v>
      </c>
      <c r="F182" s="5" t="n">
        <v>8.3</v>
      </c>
      <c r="G182" s="5" t="n">
        <v>6</v>
      </c>
      <c r="H182" s="5" t="n">
        <v>4</v>
      </c>
      <c r="I182" s="5" t="n">
        <v>7</v>
      </c>
      <c r="J182" s="5" t="n">
        <v>6</v>
      </c>
      <c r="K182" s="5" t="n">
        <v>5</v>
      </c>
      <c r="L182" s="8" t="n">
        <v>450</v>
      </c>
      <c r="M182" s="5" t="n">
        <v>6</v>
      </c>
      <c r="N182" s="5" t="n">
        <v>6</v>
      </c>
      <c r="O182" s="6" t="s">
        <v>61</v>
      </c>
      <c r="P182" s="5" t="s">
        <v>45</v>
      </c>
      <c r="Q182" s="5" t="n">
        <v>7.5</v>
      </c>
      <c r="R182" s="5" t="n">
        <v>7.5</v>
      </c>
      <c r="S182" s="5" t="n">
        <v>7</v>
      </c>
      <c r="T182" s="9" t="n">
        <f aca="false">ROUND(F182*0.15 + G182*0.08 + H182*0.08 + I182*0.1 + J182*0.08 + M182*0.1 + N182*0.05 + Q182*0.15 + R182*0.12 + S182*0.09, 2)</f>
        <v>6.78</v>
      </c>
    </row>
    <row r="183" customFormat="false" ht="15" hidden="false" customHeight="false" outlineLevel="0" collapsed="false">
      <c r="A183" s="10" t="n">
        <v>180</v>
      </c>
      <c r="B183" s="11" t="s">
        <v>401</v>
      </c>
      <c r="C183" s="11" t="s">
        <v>424</v>
      </c>
      <c r="D183" s="12" t="s">
        <v>425</v>
      </c>
      <c r="E183" s="11" t="s">
        <v>25</v>
      </c>
      <c r="F183" s="10" t="n">
        <v>8</v>
      </c>
      <c r="G183" s="10" t="n">
        <v>5</v>
      </c>
      <c r="H183" s="10" t="n">
        <v>5</v>
      </c>
      <c r="I183" s="10" t="n">
        <v>7</v>
      </c>
      <c r="J183" s="10" t="n">
        <v>7</v>
      </c>
      <c r="K183" s="10" t="n">
        <v>3</v>
      </c>
      <c r="L183" s="13" t="n">
        <v>300</v>
      </c>
      <c r="M183" s="10" t="n">
        <v>6</v>
      </c>
      <c r="N183" s="10" t="n">
        <v>7</v>
      </c>
      <c r="O183" s="11" t="s">
        <v>26</v>
      </c>
      <c r="P183" s="10" t="s">
        <v>27</v>
      </c>
      <c r="Q183" s="10" t="n">
        <v>8</v>
      </c>
      <c r="R183" s="10" t="n">
        <v>7</v>
      </c>
      <c r="S183" s="10" t="n">
        <v>8.5</v>
      </c>
      <c r="T183" s="14" t="n">
        <f aca="false">ROUND(F183*0.15 + G183*0.08 + H183*0.08 + I183*0.1 + J183*0.08 + M183*0.1 + N183*0.05 + Q183*0.15 + R183*0.12 + S183*0.09, 2)</f>
        <v>7.02</v>
      </c>
    </row>
    <row r="184" customFormat="false" ht="15" hidden="false" customHeight="false" outlineLevel="0" collapsed="false">
      <c r="A184" s="5" t="n">
        <v>181</v>
      </c>
      <c r="B184" s="6" t="s">
        <v>401</v>
      </c>
      <c r="C184" s="6" t="s">
        <v>426</v>
      </c>
      <c r="D184" s="7" t="s">
        <v>427</v>
      </c>
      <c r="E184" s="6" t="s">
        <v>71</v>
      </c>
      <c r="F184" s="5" t="n">
        <v>8</v>
      </c>
      <c r="G184" s="5" t="n">
        <v>5</v>
      </c>
      <c r="H184" s="5" t="n">
        <v>5</v>
      </c>
      <c r="I184" s="5" t="n">
        <v>7</v>
      </c>
      <c r="J184" s="5" t="n">
        <v>7</v>
      </c>
      <c r="K184" s="5" t="n">
        <v>5</v>
      </c>
      <c r="L184" s="8" t="n">
        <v>400</v>
      </c>
      <c r="M184" s="5" t="n">
        <v>6</v>
      </c>
      <c r="N184" s="5" t="n">
        <v>6</v>
      </c>
      <c r="O184" s="6" t="s">
        <v>68</v>
      </c>
      <c r="P184" s="5" t="s">
        <v>171</v>
      </c>
      <c r="Q184" s="5" t="n">
        <v>7.5</v>
      </c>
      <c r="R184" s="5" t="n">
        <v>7</v>
      </c>
      <c r="S184" s="5" t="n">
        <v>7.5</v>
      </c>
      <c r="T184" s="9" t="n">
        <f aca="false">ROUND(F184*0.15 + G184*0.08 + H184*0.08 + I184*0.1 + J184*0.08 + M184*0.1 + N184*0.05 + Q184*0.15 + R184*0.12 + S184*0.09, 2)</f>
        <v>6.8</v>
      </c>
    </row>
    <row r="185" customFormat="false" ht="15" hidden="false" customHeight="false" outlineLevel="0" collapsed="false">
      <c r="A185" s="10" t="n">
        <v>182</v>
      </c>
      <c r="B185" s="11" t="s">
        <v>401</v>
      </c>
      <c r="C185" s="11" t="s">
        <v>428</v>
      </c>
      <c r="D185" s="12" t="s">
        <v>429</v>
      </c>
      <c r="E185" s="11" t="s">
        <v>71</v>
      </c>
      <c r="F185" s="10" t="n">
        <v>8.3</v>
      </c>
      <c r="G185" s="10" t="n">
        <v>6</v>
      </c>
      <c r="H185" s="10" t="n">
        <v>4</v>
      </c>
      <c r="I185" s="10" t="n">
        <v>7</v>
      </c>
      <c r="J185" s="10" t="n">
        <v>7</v>
      </c>
      <c r="K185" s="10" t="n">
        <v>5</v>
      </c>
      <c r="L185" s="13" t="n">
        <v>400</v>
      </c>
      <c r="M185" s="10" t="n">
        <v>7</v>
      </c>
      <c r="N185" s="10" t="n">
        <v>5</v>
      </c>
      <c r="O185" s="11" t="s">
        <v>61</v>
      </c>
      <c r="P185" s="10" t="s">
        <v>45</v>
      </c>
      <c r="Q185" s="10" t="n">
        <v>7.5</v>
      </c>
      <c r="R185" s="10" t="n">
        <v>7</v>
      </c>
      <c r="S185" s="10" t="n">
        <v>7.5</v>
      </c>
      <c r="T185" s="14" t="n">
        <f aca="false">ROUND(F185*0.15 + G185*0.08 + H185*0.08 + I185*0.1 + J185*0.08 + M185*0.1 + N185*0.05 + Q185*0.15 + R185*0.12 + S185*0.09, 2)</f>
        <v>6.9</v>
      </c>
    </row>
    <row r="186" customFormat="false" ht="15" hidden="false" customHeight="false" outlineLevel="0" collapsed="false">
      <c r="A186" s="5" t="n">
        <v>183</v>
      </c>
      <c r="B186" s="6" t="s">
        <v>401</v>
      </c>
      <c r="C186" s="6" t="s">
        <v>404</v>
      </c>
      <c r="D186" s="7" t="s">
        <v>430</v>
      </c>
      <c r="E186" s="6" t="s">
        <v>92</v>
      </c>
      <c r="F186" s="5" t="n">
        <v>8.3</v>
      </c>
      <c r="G186" s="5" t="n">
        <v>5</v>
      </c>
      <c r="H186" s="5" t="n">
        <v>6</v>
      </c>
      <c r="I186" s="5" t="n">
        <v>7</v>
      </c>
      <c r="J186" s="5" t="n">
        <v>8</v>
      </c>
      <c r="K186" s="5" t="n">
        <v>2</v>
      </c>
      <c r="L186" s="8" t="n">
        <v>400</v>
      </c>
      <c r="M186" s="5" t="n">
        <v>8</v>
      </c>
      <c r="N186" s="5" t="n">
        <v>8</v>
      </c>
      <c r="O186" s="6" t="s">
        <v>36</v>
      </c>
      <c r="P186" s="5" t="s">
        <v>37</v>
      </c>
      <c r="Q186" s="5" t="n">
        <v>9</v>
      </c>
      <c r="R186" s="5" t="n">
        <v>7.5</v>
      </c>
      <c r="S186" s="5" t="n">
        <v>8.5</v>
      </c>
      <c r="T186" s="9" t="n">
        <f aca="false">ROUND(F186*0.15 + G186*0.08 + H186*0.08 + I186*0.1 + J186*0.08 + M186*0.1 + N186*0.05 + Q186*0.15 + R186*0.12 + S186*0.09, 2)</f>
        <v>7.68</v>
      </c>
    </row>
    <row r="187" customFormat="false" ht="15" hidden="false" customHeight="false" outlineLevel="0" collapsed="false">
      <c r="A187" s="10" t="n">
        <v>184</v>
      </c>
      <c r="B187" s="11" t="s">
        <v>401</v>
      </c>
      <c r="C187" s="11" t="s">
        <v>428</v>
      </c>
      <c r="D187" s="12" t="s">
        <v>431</v>
      </c>
      <c r="E187" s="11" t="s">
        <v>71</v>
      </c>
      <c r="F187" s="10" t="n">
        <v>8.2</v>
      </c>
      <c r="G187" s="10" t="n">
        <v>6</v>
      </c>
      <c r="H187" s="10" t="n">
        <v>4</v>
      </c>
      <c r="I187" s="10" t="n">
        <v>7</v>
      </c>
      <c r="J187" s="10" t="n">
        <v>6</v>
      </c>
      <c r="K187" s="10" t="n">
        <v>5</v>
      </c>
      <c r="L187" s="13" t="n">
        <v>400</v>
      </c>
      <c r="M187" s="10" t="n">
        <v>7</v>
      </c>
      <c r="N187" s="10" t="n">
        <v>5</v>
      </c>
      <c r="O187" s="11" t="s">
        <v>61</v>
      </c>
      <c r="P187" s="10" t="s">
        <v>45</v>
      </c>
      <c r="Q187" s="10" t="n">
        <v>7.5</v>
      </c>
      <c r="R187" s="10" t="n">
        <v>7.5</v>
      </c>
      <c r="S187" s="10" t="n">
        <v>7.5</v>
      </c>
      <c r="T187" s="14" t="n">
        <f aca="false">ROUND(F187*0.15 + G187*0.08 + H187*0.08 + I187*0.1 + J187*0.08 + M187*0.1 + N187*0.05 + Q187*0.15 + R187*0.12 + S187*0.09, 2)</f>
        <v>6.86</v>
      </c>
    </row>
    <row r="188" customFormat="false" ht="15" hidden="false" customHeight="false" outlineLevel="0" collapsed="false">
      <c r="A188" s="5" t="n">
        <v>185</v>
      </c>
      <c r="B188" s="6" t="s">
        <v>432</v>
      </c>
      <c r="C188" s="6" t="s">
        <v>433</v>
      </c>
      <c r="D188" s="7" t="s">
        <v>434</v>
      </c>
      <c r="E188" s="6" t="s">
        <v>25</v>
      </c>
      <c r="F188" s="5" t="n">
        <v>8.5</v>
      </c>
      <c r="G188" s="5" t="n">
        <v>7</v>
      </c>
      <c r="H188" s="5" t="n">
        <v>7</v>
      </c>
      <c r="I188" s="5" t="n">
        <v>8</v>
      </c>
      <c r="J188" s="5" t="n">
        <v>9</v>
      </c>
      <c r="K188" s="5" t="n">
        <v>2</v>
      </c>
      <c r="L188" s="8" t="n">
        <v>500</v>
      </c>
      <c r="M188" s="5" t="n">
        <v>10</v>
      </c>
      <c r="N188" s="5" t="n">
        <v>8</v>
      </c>
      <c r="O188" s="6" t="s">
        <v>26</v>
      </c>
      <c r="P188" s="5" t="s">
        <v>198</v>
      </c>
      <c r="Q188" s="5" t="n">
        <v>9</v>
      </c>
      <c r="R188" s="5" t="n">
        <v>8.5</v>
      </c>
      <c r="S188" s="5" t="n">
        <v>8.5</v>
      </c>
      <c r="T188" s="9" t="n">
        <f aca="false">ROUND(F188*0.15 + G188*0.08 + H188*0.08 + I188*0.1 + J188*0.08 + M188*0.1 + N188*0.05 + Q188*0.15 + R188*0.12 + S188*0.09, 2)</f>
        <v>8.45</v>
      </c>
    </row>
    <row r="189" customFormat="false" ht="15" hidden="false" customHeight="false" outlineLevel="0" collapsed="false">
      <c r="A189" s="10" t="n">
        <v>186</v>
      </c>
      <c r="B189" s="11" t="s">
        <v>432</v>
      </c>
      <c r="C189" s="11" t="s">
        <v>435</v>
      </c>
      <c r="D189" s="12" t="s">
        <v>436</v>
      </c>
      <c r="E189" s="11" t="s">
        <v>437</v>
      </c>
      <c r="F189" s="10" t="n">
        <v>8.5</v>
      </c>
      <c r="G189" s="10" t="n">
        <v>7</v>
      </c>
      <c r="H189" s="10" t="n">
        <v>6</v>
      </c>
      <c r="I189" s="10" t="n">
        <v>7</v>
      </c>
      <c r="J189" s="10" t="n">
        <v>7</v>
      </c>
      <c r="K189" s="10" t="n">
        <v>3</v>
      </c>
      <c r="L189" s="13" t="n">
        <v>500</v>
      </c>
      <c r="M189" s="10" t="n">
        <v>7</v>
      </c>
      <c r="N189" s="10" t="n">
        <v>7</v>
      </c>
      <c r="O189" s="11" t="s">
        <v>26</v>
      </c>
      <c r="P189" s="10" t="s">
        <v>27</v>
      </c>
      <c r="Q189" s="10" t="n">
        <v>8.5</v>
      </c>
      <c r="R189" s="10" t="n">
        <v>8</v>
      </c>
      <c r="S189" s="10" t="n">
        <v>9</v>
      </c>
      <c r="T189" s="14" t="n">
        <f aca="false">ROUND(F189*0.15 + G189*0.08 + H189*0.08 + I189*0.1 + J189*0.08 + M189*0.1 + N189*0.05 + Q189*0.15 + R189*0.12 + S189*0.09, 2)</f>
        <v>7.67</v>
      </c>
    </row>
    <row r="190" customFormat="false" ht="15" hidden="false" customHeight="false" outlineLevel="0" collapsed="false">
      <c r="A190" s="5" t="n">
        <v>187</v>
      </c>
      <c r="B190" s="6" t="s">
        <v>432</v>
      </c>
      <c r="C190" s="6" t="s">
        <v>435</v>
      </c>
      <c r="D190" s="7" t="s">
        <v>438</v>
      </c>
      <c r="E190" s="6" t="s">
        <v>102</v>
      </c>
      <c r="F190" s="5" t="n">
        <v>8.5</v>
      </c>
      <c r="G190" s="5" t="n">
        <v>7</v>
      </c>
      <c r="H190" s="5" t="n">
        <v>5</v>
      </c>
      <c r="I190" s="5" t="n">
        <v>8</v>
      </c>
      <c r="J190" s="5" t="n">
        <v>7</v>
      </c>
      <c r="K190" s="5" t="n">
        <v>5</v>
      </c>
      <c r="L190" s="8" t="n">
        <v>500</v>
      </c>
      <c r="M190" s="5" t="n">
        <v>7</v>
      </c>
      <c r="N190" s="5" t="n">
        <v>7</v>
      </c>
      <c r="O190" s="6" t="s">
        <v>26</v>
      </c>
      <c r="P190" s="5" t="s">
        <v>32</v>
      </c>
      <c r="Q190" s="5" t="n">
        <v>8</v>
      </c>
      <c r="R190" s="5" t="n">
        <v>7.5</v>
      </c>
      <c r="S190" s="5" t="n">
        <v>7.5</v>
      </c>
      <c r="T190" s="9" t="n">
        <f aca="false">ROUND(F190*0.15 + G190*0.08 + H190*0.08 + I190*0.1 + J190*0.08 + M190*0.1 + N190*0.05 + Q190*0.15 + R190*0.12 + S190*0.09, 2)</f>
        <v>7.42</v>
      </c>
    </row>
    <row r="191" customFormat="false" ht="15" hidden="false" customHeight="false" outlineLevel="0" collapsed="false">
      <c r="A191" s="10" t="n">
        <v>188</v>
      </c>
      <c r="B191" s="11" t="s">
        <v>432</v>
      </c>
      <c r="C191" s="11" t="s">
        <v>439</v>
      </c>
      <c r="D191" s="12" t="s">
        <v>440</v>
      </c>
      <c r="E191" s="11" t="s">
        <v>92</v>
      </c>
      <c r="F191" s="10" t="n">
        <v>9</v>
      </c>
      <c r="G191" s="10" t="n">
        <v>5</v>
      </c>
      <c r="H191" s="10" t="n">
        <v>4</v>
      </c>
      <c r="I191" s="10" t="n">
        <v>8</v>
      </c>
      <c r="J191" s="10" t="n">
        <v>8</v>
      </c>
      <c r="K191" s="10" t="n">
        <v>8</v>
      </c>
      <c r="L191" s="13" t="n">
        <v>600</v>
      </c>
      <c r="M191" s="10" t="n">
        <v>7</v>
      </c>
      <c r="N191" s="10" t="n">
        <v>6</v>
      </c>
      <c r="O191" s="11" t="s">
        <v>26</v>
      </c>
      <c r="P191" s="10" t="s">
        <v>198</v>
      </c>
      <c r="Q191" s="10" t="n">
        <v>9.5</v>
      </c>
      <c r="R191" s="10" t="n">
        <v>8</v>
      </c>
      <c r="S191" s="10" t="n">
        <v>8</v>
      </c>
      <c r="T191" s="14" t="n">
        <f aca="false">ROUND(F191*0.15 + G191*0.08 + H191*0.08 + I191*0.1 + J191*0.08 + M191*0.1 + N191*0.05 + Q191*0.15 + R191*0.12 + S191*0.09, 2)</f>
        <v>7.62</v>
      </c>
    </row>
    <row r="192" customFormat="false" ht="15" hidden="false" customHeight="false" outlineLevel="0" collapsed="false">
      <c r="A192" s="5" t="n">
        <v>189</v>
      </c>
      <c r="B192" s="6" t="s">
        <v>432</v>
      </c>
      <c r="C192" s="6" t="s">
        <v>441</v>
      </c>
      <c r="D192" s="7" t="s">
        <v>442</v>
      </c>
      <c r="E192" s="6" t="s">
        <v>67</v>
      </c>
      <c r="F192" s="5" t="n">
        <v>8.8</v>
      </c>
      <c r="G192" s="5" t="n">
        <v>5</v>
      </c>
      <c r="H192" s="5" t="n">
        <v>3</v>
      </c>
      <c r="I192" s="5" t="n">
        <v>8</v>
      </c>
      <c r="J192" s="5" t="n">
        <v>7</v>
      </c>
      <c r="K192" s="5" t="n">
        <v>8</v>
      </c>
      <c r="L192" s="8" t="n">
        <v>600</v>
      </c>
      <c r="M192" s="5" t="n">
        <v>5</v>
      </c>
      <c r="N192" s="5" t="n">
        <v>4</v>
      </c>
      <c r="O192" s="6" t="s">
        <v>61</v>
      </c>
      <c r="P192" s="5" t="s">
        <v>45</v>
      </c>
      <c r="Q192" s="5" t="n">
        <v>9.5</v>
      </c>
      <c r="R192" s="5" t="n">
        <v>7</v>
      </c>
      <c r="S192" s="5" t="n">
        <v>7.5</v>
      </c>
      <c r="T192" s="9" t="n">
        <f aca="false">ROUND(F192*0.15 + G192*0.08 + H192*0.08 + I192*0.1 + J192*0.08 + M192*0.1 + N192*0.05 + Q192*0.15 + R192*0.12 + S192*0.09, 2)</f>
        <v>6.96</v>
      </c>
    </row>
    <row r="193" customFormat="false" ht="15" hidden="false" customHeight="false" outlineLevel="0" collapsed="false">
      <c r="A193" s="10" t="n">
        <v>190</v>
      </c>
      <c r="B193" s="11" t="s">
        <v>432</v>
      </c>
      <c r="C193" s="11" t="s">
        <v>443</v>
      </c>
      <c r="D193" s="12" t="s">
        <v>444</v>
      </c>
      <c r="E193" s="11" t="s">
        <v>108</v>
      </c>
      <c r="F193" s="10" t="n">
        <v>9</v>
      </c>
      <c r="G193" s="10" t="n">
        <v>5</v>
      </c>
      <c r="H193" s="10" t="n">
        <v>3</v>
      </c>
      <c r="I193" s="10" t="n">
        <v>8</v>
      </c>
      <c r="J193" s="10" t="n">
        <v>7</v>
      </c>
      <c r="K193" s="10" t="n">
        <v>6</v>
      </c>
      <c r="L193" s="13" t="n">
        <v>500</v>
      </c>
      <c r="M193" s="10" t="n">
        <v>5</v>
      </c>
      <c r="N193" s="10" t="n">
        <v>6</v>
      </c>
      <c r="O193" s="11" t="s">
        <v>31</v>
      </c>
      <c r="P193" s="10" t="s">
        <v>32</v>
      </c>
      <c r="Q193" s="10" t="n">
        <v>9</v>
      </c>
      <c r="R193" s="10" t="n">
        <v>7.5</v>
      </c>
      <c r="S193" s="10" t="n">
        <v>7.5</v>
      </c>
      <c r="T193" s="14" t="n">
        <f aca="false">ROUND(F193*0.15 + G193*0.08 + H193*0.08 + I193*0.1 + J193*0.08 + M193*0.1 + N193*0.05 + Q193*0.15 + R193*0.12 + S193*0.09, 2)</f>
        <v>7.08</v>
      </c>
    </row>
    <row r="194" customFormat="false" ht="15" hidden="false" customHeight="false" outlineLevel="0" collapsed="false">
      <c r="A194" s="5" t="n">
        <v>191</v>
      </c>
      <c r="B194" s="6" t="s">
        <v>432</v>
      </c>
      <c r="C194" s="6" t="s">
        <v>435</v>
      </c>
      <c r="D194" s="7" t="s">
        <v>445</v>
      </c>
      <c r="E194" s="6" t="s">
        <v>71</v>
      </c>
      <c r="F194" s="5" t="n">
        <v>8.3</v>
      </c>
      <c r="G194" s="5" t="n">
        <v>6</v>
      </c>
      <c r="H194" s="5" t="n">
        <v>5</v>
      </c>
      <c r="I194" s="5" t="n">
        <v>8</v>
      </c>
      <c r="J194" s="5" t="n">
        <v>6</v>
      </c>
      <c r="K194" s="5" t="n">
        <v>4</v>
      </c>
      <c r="L194" s="8" t="n">
        <v>450</v>
      </c>
      <c r="M194" s="5" t="n">
        <v>6</v>
      </c>
      <c r="N194" s="5" t="n">
        <v>6</v>
      </c>
      <c r="O194" s="6" t="s">
        <v>26</v>
      </c>
      <c r="P194" s="5" t="s">
        <v>27</v>
      </c>
      <c r="Q194" s="5" t="n">
        <v>8</v>
      </c>
      <c r="R194" s="5" t="n">
        <v>7</v>
      </c>
      <c r="S194" s="5" t="n">
        <v>7.5</v>
      </c>
      <c r="T194" s="9" t="n">
        <f aca="false">ROUND(F194*0.15 + G194*0.08 + H194*0.08 + I194*0.1 + J194*0.08 + M194*0.1 + N194*0.05 + Q194*0.15 + R194*0.12 + S194*0.09, 2)</f>
        <v>7.02</v>
      </c>
    </row>
    <row r="195" customFormat="false" ht="15" hidden="false" customHeight="false" outlineLevel="0" collapsed="false">
      <c r="A195" s="10" t="n">
        <v>192</v>
      </c>
      <c r="B195" s="11" t="s">
        <v>432</v>
      </c>
      <c r="C195" s="11" t="s">
        <v>435</v>
      </c>
      <c r="D195" s="12" t="s">
        <v>446</v>
      </c>
      <c r="E195" s="11" t="s">
        <v>25</v>
      </c>
      <c r="F195" s="10" t="n">
        <v>8</v>
      </c>
      <c r="G195" s="10" t="n">
        <v>5</v>
      </c>
      <c r="H195" s="10" t="n">
        <v>5</v>
      </c>
      <c r="I195" s="10" t="n">
        <v>7</v>
      </c>
      <c r="J195" s="10" t="n">
        <v>7</v>
      </c>
      <c r="K195" s="10" t="n">
        <v>3</v>
      </c>
      <c r="L195" s="13" t="n">
        <v>400</v>
      </c>
      <c r="M195" s="10" t="n">
        <v>7</v>
      </c>
      <c r="N195" s="10" t="n">
        <v>7</v>
      </c>
      <c r="O195" s="11" t="s">
        <v>26</v>
      </c>
      <c r="P195" s="10" t="s">
        <v>27</v>
      </c>
      <c r="Q195" s="10" t="n">
        <v>8.5</v>
      </c>
      <c r="R195" s="10" t="n">
        <v>7</v>
      </c>
      <c r="S195" s="10" t="n">
        <v>8</v>
      </c>
      <c r="T195" s="14" t="n">
        <f aca="false">ROUND(F195*0.15 + G195*0.08 + H195*0.08 + I195*0.1 + J195*0.08 + M195*0.1 + N195*0.05 + Q195*0.15 + R195*0.12 + S195*0.09, 2)</f>
        <v>7.15</v>
      </c>
    </row>
    <row r="196" customFormat="false" ht="15" hidden="false" customHeight="false" outlineLevel="0" collapsed="false">
      <c r="A196" s="5" t="n">
        <v>193</v>
      </c>
      <c r="B196" s="6" t="s">
        <v>432</v>
      </c>
      <c r="C196" s="6" t="s">
        <v>433</v>
      </c>
      <c r="D196" s="7" t="s">
        <v>447</v>
      </c>
      <c r="E196" s="6" t="s">
        <v>213</v>
      </c>
      <c r="F196" s="5" t="n">
        <v>8.5</v>
      </c>
      <c r="G196" s="5" t="n">
        <v>7</v>
      </c>
      <c r="H196" s="5" t="n">
        <v>7</v>
      </c>
      <c r="I196" s="5" t="n">
        <v>8</v>
      </c>
      <c r="J196" s="5" t="n">
        <v>8</v>
      </c>
      <c r="K196" s="5" t="n">
        <v>4</v>
      </c>
      <c r="L196" s="8" t="n">
        <v>500</v>
      </c>
      <c r="M196" s="5" t="n">
        <v>9</v>
      </c>
      <c r="N196" s="5" t="n">
        <v>8</v>
      </c>
      <c r="O196" s="6" t="s">
        <v>219</v>
      </c>
      <c r="P196" s="5" t="s">
        <v>220</v>
      </c>
      <c r="Q196" s="5" t="n">
        <v>8</v>
      </c>
      <c r="R196" s="5" t="n">
        <v>8.5</v>
      </c>
      <c r="S196" s="5" t="n">
        <v>8.5</v>
      </c>
      <c r="T196" s="9" t="n">
        <f aca="false">ROUND(F196*0.15 + G196*0.08 + H196*0.08 + I196*0.1 + J196*0.08 + M196*0.1 + N196*0.05 + Q196*0.15 + R196*0.12 + S196*0.09, 2)</f>
        <v>8.12</v>
      </c>
    </row>
    <row r="197" customFormat="false" ht="15" hidden="false" customHeight="false" outlineLevel="0" collapsed="false">
      <c r="A197" s="10" t="n">
        <v>194</v>
      </c>
      <c r="B197" s="11" t="s">
        <v>432</v>
      </c>
      <c r="C197" s="11" t="s">
        <v>448</v>
      </c>
      <c r="D197" s="12" t="s">
        <v>449</v>
      </c>
      <c r="E197" s="11" t="s">
        <v>25</v>
      </c>
      <c r="F197" s="10" t="n">
        <v>8</v>
      </c>
      <c r="G197" s="10" t="n">
        <v>6</v>
      </c>
      <c r="H197" s="10" t="n">
        <v>5</v>
      </c>
      <c r="I197" s="10" t="n">
        <v>7</v>
      </c>
      <c r="J197" s="10" t="n">
        <v>7</v>
      </c>
      <c r="K197" s="10" t="n">
        <v>3</v>
      </c>
      <c r="L197" s="13" t="n">
        <v>400</v>
      </c>
      <c r="M197" s="10" t="n">
        <v>7</v>
      </c>
      <c r="N197" s="10" t="n">
        <v>7</v>
      </c>
      <c r="O197" s="11" t="s">
        <v>26</v>
      </c>
      <c r="P197" s="10" t="s">
        <v>27</v>
      </c>
      <c r="Q197" s="10" t="n">
        <v>8.5</v>
      </c>
      <c r="R197" s="10" t="n">
        <v>7</v>
      </c>
      <c r="S197" s="10" t="n">
        <v>7.5</v>
      </c>
      <c r="T197" s="14" t="n">
        <f aca="false">ROUND(F197*0.15 + G197*0.08 + H197*0.08 + I197*0.1 + J197*0.08 + M197*0.1 + N197*0.05 + Q197*0.15 + R197*0.12 + S197*0.09, 2)</f>
        <v>7.18</v>
      </c>
    </row>
    <row r="198" customFormat="false" ht="15" hidden="false" customHeight="false" outlineLevel="0" collapsed="false">
      <c r="A198" s="5" t="n">
        <v>195</v>
      </c>
      <c r="B198" s="6" t="s">
        <v>432</v>
      </c>
      <c r="C198" s="6" t="s">
        <v>433</v>
      </c>
      <c r="D198" s="7" t="s">
        <v>450</v>
      </c>
      <c r="E198" s="6" t="s">
        <v>67</v>
      </c>
      <c r="F198" s="5" t="n">
        <v>8</v>
      </c>
      <c r="G198" s="5" t="n">
        <v>7</v>
      </c>
      <c r="H198" s="5" t="n">
        <v>5</v>
      </c>
      <c r="I198" s="5" t="n">
        <v>7</v>
      </c>
      <c r="J198" s="5" t="n">
        <v>6</v>
      </c>
      <c r="K198" s="5" t="n">
        <v>5</v>
      </c>
      <c r="L198" s="8" t="n">
        <v>400</v>
      </c>
      <c r="M198" s="5" t="n">
        <v>7</v>
      </c>
      <c r="N198" s="5" t="n">
        <v>7</v>
      </c>
      <c r="O198" s="6" t="s">
        <v>26</v>
      </c>
      <c r="P198" s="5" t="s">
        <v>287</v>
      </c>
      <c r="Q198" s="5" t="n">
        <v>7</v>
      </c>
      <c r="R198" s="5" t="n">
        <v>7.5</v>
      </c>
      <c r="S198" s="5" t="n">
        <v>7.5</v>
      </c>
      <c r="T198" s="9" t="n">
        <f aca="false">ROUND(F198*0.15 + G198*0.08 + H198*0.08 + I198*0.1 + J198*0.08 + M198*0.1 + N198*0.05 + Q198*0.15 + R198*0.12 + S198*0.09, 2)</f>
        <v>7.02</v>
      </c>
    </row>
    <row r="199" customFormat="false" ht="15" hidden="false" customHeight="false" outlineLevel="0" collapsed="false">
      <c r="A199" s="10" t="n">
        <v>196</v>
      </c>
      <c r="B199" s="11" t="s">
        <v>432</v>
      </c>
      <c r="C199" s="11" t="s">
        <v>443</v>
      </c>
      <c r="D199" s="12" t="s">
        <v>451</v>
      </c>
      <c r="E199" s="11" t="s">
        <v>452</v>
      </c>
      <c r="F199" s="10" t="n">
        <v>8</v>
      </c>
      <c r="G199" s="10" t="n">
        <v>6</v>
      </c>
      <c r="H199" s="10" t="n">
        <v>5</v>
      </c>
      <c r="I199" s="10" t="n">
        <v>7</v>
      </c>
      <c r="J199" s="10" t="n">
        <v>7</v>
      </c>
      <c r="K199" s="10" t="n">
        <v>3</v>
      </c>
      <c r="L199" s="13" t="n">
        <v>400</v>
      </c>
      <c r="M199" s="10" t="n">
        <v>6</v>
      </c>
      <c r="N199" s="10" t="n">
        <v>7</v>
      </c>
      <c r="O199" s="11" t="s">
        <v>26</v>
      </c>
      <c r="P199" s="10" t="s">
        <v>32</v>
      </c>
      <c r="Q199" s="10" t="n">
        <v>8</v>
      </c>
      <c r="R199" s="10" t="n">
        <v>7</v>
      </c>
      <c r="S199" s="10" t="n">
        <v>7.5</v>
      </c>
      <c r="T199" s="14" t="n">
        <f aca="false">ROUND(F199*0.15 + G199*0.08 + H199*0.08 + I199*0.1 + J199*0.08 + M199*0.1 + N199*0.05 + Q199*0.15 + R199*0.12 + S199*0.09, 2)</f>
        <v>7.01</v>
      </c>
    </row>
    <row r="200" customFormat="false" ht="15" hidden="false" customHeight="false" outlineLevel="0" collapsed="false">
      <c r="A200" s="5" t="n">
        <v>197</v>
      </c>
      <c r="B200" s="6" t="s">
        <v>432</v>
      </c>
      <c r="C200" s="6" t="s">
        <v>443</v>
      </c>
      <c r="D200" s="7" t="s">
        <v>453</v>
      </c>
      <c r="E200" s="6" t="s">
        <v>80</v>
      </c>
      <c r="F200" s="5" t="n">
        <v>8.3</v>
      </c>
      <c r="G200" s="5" t="n">
        <v>6</v>
      </c>
      <c r="H200" s="5" t="n">
        <v>4</v>
      </c>
      <c r="I200" s="5" t="n">
        <v>7</v>
      </c>
      <c r="J200" s="5" t="n">
        <v>7</v>
      </c>
      <c r="K200" s="5" t="n">
        <v>3</v>
      </c>
      <c r="L200" s="8" t="n">
        <v>400</v>
      </c>
      <c r="M200" s="5" t="n">
        <v>5</v>
      </c>
      <c r="N200" s="5" t="n">
        <v>7</v>
      </c>
      <c r="O200" s="6" t="s">
        <v>61</v>
      </c>
      <c r="P200" s="5" t="s">
        <v>45</v>
      </c>
      <c r="Q200" s="5" t="n">
        <v>8</v>
      </c>
      <c r="R200" s="5" t="n">
        <v>7</v>
      </c>
      <c r="S200" s="5" t="n">
        <v>7.5</v>
      </c>
      <c r="T200" s="9" t="n">
        <f aca="false">ROUND(F200*0.15 + G200*0.08 + H200*0.08 + I200*0.1 + J200*0.08 + M200*0.1 + N200*0.05 + Q200*0.15 + R200*0.12 + S200*0.09, 2)</f>
        <v>6.87</v>
      </c>
    </row>
    <row r="201" customFormat="false" ht="15" hidden="false" customHeight="false" outlineLevel="0" collapsed="false">
      <c r="A201" s="10" t="n">
        <v>198</v>
      </c>
      <c r="B201" s="11" t="s">
        <v>432</v>
      </c>
      <c r="C201" s="11" t="s">
        <v>454</v>
      </c>
      <c r="D201" s="12" t="s">
        <v>455</v>
      </c>
      <c r="E201" s="11" t="s">
        <v>25</v>
      </c>
      <c r="F201" s="10" t="n">
        <v>8.2</v>
      </c>
      <c r="G201" s="10" t="n">
        <v>6</v>
      </c>
      <c r="H201" s="10" t="n">
        <v>6</v>
      </c>
      <c r="I201" s="10" t="n">
        <v>7</v>
      </c>
      <c r="J201" s="10" t="n">
        <v>7</v>
      </c>
      <c r="K201" s="10" t="n">
        <v>3</v>
      </c>
      <c r="L201" s="13" t="n">
        <v>400</v>
      </c>
      <c r="M201" s="10" t="n">
        <v>7</v>
      </c>
      <c r="N201" s="10" t="n">
        <v>7</v>
      </c>
      <c r="O201" s="11" t="s">
        <v>26</v>
      </c>
      <c r="P201" s="10" t="s">
        <v>198</v>
      </c>
      <c r="Q201" s="10" t="n">
        <v>8.5</v>
      </c>
      <c r="R201" s="10" t="n">
        <v>7</v>
      </c>
      <c r="S201" s="10" t="n">
        <v>8</v>
      </c>
      <c r="T201" s="14" t="n">
        <f aca="false">ROUND(F201*0.15 + G201*0.08 + H201*0.08 + I201*0.1 + J201*0.08 + M201*0.1 + N201*0.05 + Q201*0.15 + R201*0.12 + S201*0.09, 2)</f>
        <v>7.34</v>
      </c>
    </row>
    <row r="202" customFormat="false" ht="15" hidden="false" customHeight="false" outlineLevel="0" collapsed="false">
      <c r="A202" s="5" t="n">
        <v>199</v>
      </c>
      <c r="B202" s="6" t="s">
        <v>432</v>
      </c>
      <c r="C202" s="6" t="s">
        <v>456</v>
      </c>
      <c r="D202" s="7" t="s">
        <v>457</v>
      </c>
      <c r="E202" s="6" t="s">
        <v>57</v>
      </c>
      <c r="F202" s="5" t="n">
        <v>8</v>
      </c>
      <c r="G202" s="5" t="n">
        <v>5</v>
      </c>
      <c r="H202" s="5" t="n">
        <v>4</v>
      </c>
      <c r="I202" s="5" t="n">
        <v>7</v>
      </c>
      <c r="J202" s="5" t="n">
        <v>7</v>
      </c>
      <c r="K202" s="5" t="n">
        <v>5</v>
      </c>
      <c r="L202" s="8" t="n">
        <v>400</v>
      </c>
      <c r="M202" s="5" t="n">
        <v>6</v>
      </c>
      <c r="N202" s="5" t="n">
        <v>5</v>
      </c>
      <c r="O202" s="6" t="s">
        <v>219</v>
      </c>
      <c r="P202" s="5" t="s">
        <v>458</v>
      </c>
      <c r="Q202" s="5" t="n">
        <v>7.5</v>
      </c>
      <c r="R202" s="5" t="n">
        <v>7</v>
      </c>
      <c r="S202" s="5" t="n">
        <v>7.5</v>
      </c>
      <c r="T202" s="9" t="n">
        <f aca="false">ROUND(F202*0.15 + G202*0.08 + H202*0.08 + I202*0.1 + J202*0.08 + M202*0.1 + N202*0.05 + Q202*0.15 + R202*0.12 + S202*0.09, 2)</f>
        <v>6.67</v>
      </c>
    </row>
    <row r="203" customFormat="false" ht="15" hidden="false" customHeight="false" outlineLevel="0" collapsed="false">
      <c r="A203" s="10" t="n">
        <v>200</v>
      </c>
      <c r="B203" s="11" t="s">
        <v>459</v>
      </c>
      <c r="C203" s="11" t="s">
        <v>460</v>
      </c>
      <c r="D203" s="12" t="s">
        <v>461</v>
      </c>
      <c r="E203" s="11" t="s">
        <v>57</v>
      </c>
      <c r="F203" s="10" t="n">
        <v>9.5</v>
      </c>
      <c r="G203" s="10" t="n">
        <v>5</v>
      </c>
      <c r="H203" s="10" t="n">
        <v>3</v>
      </c>
      <c r="I203" s="10" t="n">
        <v>9</v>
      </c>
      <c r="J203" s="10" t="n">
        <v>8</v>
      </c>
      <c r="K203" s="10" t="n">
        <v>8</v>
      </c>
      <c r="L203" s="13" t="n">
        <v>800</v>
      </c>
      <c r="M203" s="10" t="n">
        <v>7</v>
      </c>
      <c r="N203" s="10" t="n">
        <v>6</v>
      </c>
      <c r="O203" s="11" t="s">
        <v>26</v>
      </c>
      <c r="P203" s="10" t="s">
        <v>27</v>
      </c>
      <c r="Q203" s="10" t="n">
        <v>10</v>
      </c>
      <c r="R203" s="10" t="n">
        <v>8</v>
      </c>
      <c r="S203" s="10" t="n">
        <v>7.5</v>
      </c>
      <c r="T203" s="14" t="n">
        <f aca="false">ROUND(F203*0.15 + G203*0.08 + H203*0.08 + I203*0.1 + J203*0.08 + M203*0.1 + N203*0.05 + Q203*0.15 + R203*0.12 + S203*0.09, 2)</f>
        <v>7.74</v>
      </c>
    </row>
    <row r="204" customFormat="false" ht="15" hidden="false" customHeight="false" outlineLevel="0" collapsed="false">
      <c r="A204" s="5" t="n">
        <v>201</v>
      </c>
      <c r="B204" s="6" t="s">
        <v>459</v>
      </c>
      <c r="C204" s="6" t="s">
        <v>462</v>
      </c>
      <c r="D204" s="7" t="s">
        <v>463</v>
      </c>
      <c r="E204" s="6" t="s">
        <v>92</v>
      </c>
      <c r="F204" s="5" t="n">
        <v>8.8</v>
      </c>
      <c r="G204" s="5" t="n">
        <v>5</v>
      </c>
      <c r="H204" s="5" t="n">
        <v>4</v>
      </c>
      <c r="I204" s="5" t="n">
        <v>8</v>
      </c>
      <c r="J204" s="5" t="n">
        <v>8</v>
      </c>
      <c r="K204" s="5" t="n">
        <v>6</v>
      </c>
      <c r="L204" s="8" t="n">
        <v>500</v>
      </c>
      <c r="M204" s="5" t="n">
        <v>7</v>
      </c>
      <c r="N204" s="5" t="n">
        <v>6</v>
      </c>
      <c r="O204" s="6" t="s">
        <v>26</v>
      </c>
      <c r="P204" s="5" t="s">
        <v>293</v>
      </c>
      <c r="Q204" s="5" t="n">
        <v>9</v>
      </c>
      <c r="R204" s="5" t="n">
        <v>7.5</v>
      </c>
      <c r="S204" s="5" t="n">
        <v>7.5</v>
      </c>
      <c r="T204" s="9" t="n">
        <f aca="false">ROUND(F204*0.15 + G204*0.08 + H204*0.08 + I204*0.1 + J204*0.08 + M204*0.1 + N204*0.05 + Q204*0.15 + R204*0.12 + S204*0.09, 2)</f>
        <v>7.41</v>
      </c>
    </row>
    <row r="205" customFormat="false" ht="15" hidden="false" customHeight="false" outlineLevel="0" collapsed="false">
      <c r="A205" s="10" t="n">
        <v>202</v>
      </c>
      <c r="B205" s="11" t="s">
        <v>459</v>
      </c>
      <c r="C205" s="11" t="s">
        <v>464</v>
      </c>
      <c r="D205" s="12" t="s">
        <v>465</v>
      </c>
      <c r="E205" s="11" t="s">
        <v>74</v>
      </c>
      <c r="F205" s="10" t="n">
        <v>8.5</v>
      </c>
      <c r="G205" s="10" t="n">
        <v>6</v>
      </c>
      <c r="H205" s="10" t="n">
        <v>7</v>
      </c>
      <c r="I205" s="10" t="n">
        <v>6</v>
      </c>
      <c r="J205" s="10" t="n">
        <v>8</v>
      </c>
      <c r="K205" s="10" t="n">
        <v>3</v>
      </c>
      <c r="L205" s="13" t="n">
        <v>350</v>
      </c>
      <c r="M205" s="10" t="n">
        <v>7</v>
      </c>
      <c r="N205" s="10" t="n">
        <v>8</v>
      </c>
      <c r="O205" s="11" t="s">
        <v>36</v>
      </c>
      <c r="P205" s="10" t="s">
        <v>37</v>
      </c>
      <c r="Q205" s="10" t="n">
        <v>9</v>
      </c>
      <c r="R205" s="10" t="n">
        <v>7.5</v>
      </c>
      <c r="S205" s="10" t="n">
        <v>9</v>
      </c>
      <c r="T205" s="14" t="n">
        <f aca="false">ROUND(F205*0.15 + G205*0.08 + H205*0.08 + I205*0.1 + J205*0.08 + M205*0.1 + N205*0.05 + Q205*0.15 + R205*0.12 + S205*0.09, 2)</f>
        <v>7.72</v>
      </c>
    </row>
    <row r="206" customFormat="false" ht="15" hidden="false" customHeight="false" outlineLevel="0" collapsed="false">
      <c r="A206" s="5" t="n">
        <v>203</v>
      </c>
      <c r="B206" s="6" t="s">
        <v>459</v>
      </c>
      <c r="C206" s="6" t="s">
        <v>466</v>
      </c>
      <c r="D206" s="7" t="s">
        <v>467</v>
      </c>
      <c r="E206" s="6" t="s">
        <v>102</v>
      </c>
      <c r="F206" s="5" t="n">
        <v>8.8</v>
      </c>
      <c r="G206" s="5" t="n">
        <v>7</v>
      </c>
      <c r="H206" s="5" t="n">
        <v>6</v>
      </c>
      <c r="I206" s="5" t="n">
        <v>8</v>
      </c>
      <c r="J206" s="5" t="n">
        <v>9</v>
      </c>
      <c r="K206" s="5" t="n">
        <v>4</v>
      </c>
      <c r="L206" s="8" t="n">
        <v>500</v>
      </c>
      <c r="M206" s="5" t="n">
        <v>10</v>
      </c>
      <c r="N206" s="5" t="n">
        <v>8</v>
      </c>
      <c r="O206" s="6" t="s">
        <v>26</v>
      </c>
      <c r="P206" s="5" t="s">
        <v>198</v>
      </c>
      <c r="Q206" s="5" t="n">
        <v>8.5</v>
      </c>
      <c r="R206" s="5" t="n">
        <v>8.5</v>
      </c>
      <c r="S206" s="5" t="n">
        <v>9</v>
      </c>
      <c r="T206" s="9" t="n">
        <f aca="false">ROUND(F206*0.15 + G206*0.08 + H206*0.08 + I206*0.1 + J206*0.08 + M206*0.1 + N206*0.05 + Q206*0.15 + R206*0.12 + S206*0.09, 2)</f>
        <v>8.39</v>
      </c>
    </row>
    <row r="207" customFormat="false" ht="15" hidden="false" customHeight="false" outlineLevel="0" collapsed="false">
      <c r="A207" s="10" t="n">
        <v>204</v>
      </c>
      <c r="B207" s="11" t="s">
        <v>459</v>
      </c>
      <c r="C207" s="11" t="s">
        <v>468</v>
      </c>
      <c r="D207" s="12" t="s">
        <v>469</v>
      </c>
      <c r="E207" s="11" t="s">
        <v>25</v>
      </c>
      <c r="F207" s="10" t="n">
        <v>8.5</v>
      </c>
      <c r="G207" s="10" t="n">
        <v>6</v>
      </c>
      <c r="H207" s="10" t="n">
        <v>6</v>
      </c>
      <c r="I207" s="10" t="n">
        <v>8</v>
      </c>
      <c r="J207" s="10" t="n">
        <v>8</v>
      </c>
      <c r="K207" s="10" t="n">
        <v>3</v>
      </c>
      <c r="L207" s="13" t="n">
        <v>400</v>
      </c>
      <c r="M207" s="10" t="n">
        <v>7</v>
      </c>
      <c r="N207" s="10" t="n">
        <v>7</v>
      </c>
      <c r="O207" s="11" t="s">
        <v>26</v>
      </c>
      <c r="P207" s="10" t="s">
        <v>27</v>
      </c>
      <c r="Q207" s="10" t="n">
        <v>9</v>
      </c>
      <c r="R207" s="10" t="n">
        <v>7.5</v>
      </c>
      <c r="S207" s="10" t="n">
        <v>8</v>
      </c>
      <c r="T207" s="14" t="n">
        <f aca="false">ROUND(F207*0.15 + G207*0.08 + H207*0.08 + I207*0.1 + J207*0.08 + M207*0.1 + N207*0.05 + Q207*0.15 + R207*0.12 + S207*0.09, 2)</f>
        <v>7.7</v>
      </c>
    </row>
    <row r="208" customFormat="false" ht="15" hidden="false" customHeight="false" outlineLevel="0" collapsed="false">
      <c r="A208" s="5" t="n">
        <v>205</v>
      </c>
      <c r="B208" s="6" t="s">
        <v>459</v>
      </c>
      <c r="C208" s="6" t="s">
        <v>470</v>
      </c>
      <c r="D208" s="7" t="s">
        <v>471</v>
      </c>
      <c r="E208" s="6" t="s">
        <v>116</v>
      </c>
      <c r="F208" s="5" t="n">
        <v>8.3</v>
      </c>
      <c r="G208" s="5" t="n">
        <v>5</v>
      </c>
      <c r="H208" s="5" t="n">
        <v>4</v>
      </c>
      <c r="I208" s="5" t="n">
        <v>8</v>
      </c>
      <c r="J208" s="5" t="n">
        <v>7</v>
      </c>
      <c r="K208" s="5" t="n">
        <v>6</v>
      </c>
      <c r="L208" s="8" t="n">
        <v>400</v>
      </c>
      <c r="M208" s="5" t="n">
        <v>6</v>
      </c>
      <c r="N208" s="5" t="n">
        <v>6</v>
      </c>
      <c r="O208" s="6" t="s">
        <v>26</v>
      </c>
      <c r="P208" s="5" t="s">
        <v>27</v>
      </c>
      <c r="Q208" s="5" t="n">
        <v>8</v>
      </c>
      <c r="R208" s="5" t="n">
        <v>7</v>
      </c>
      <c r="S208" s="5" t="n">
        <v>7.5</v>
      </c>
      <c r="T208" s="9" t="n">
        <f aca="false">ROUND(F208*0.15 + G208*0.08 + H208*0.08 + I208*0.1 + J208*0.08 + M208*0.1 + N208*0.05 + Q208*0.15 + R208*0.12 + S208*0.09, 2)</f>
        <v>6.94</v>
      </c>
    </row>
    <row r="209" customFormat="false" ht="15" hidden="false" customHeight="false" outlineLevel="0" collapsed="false">
      <c r="A209" s="10" t="n">
        <v>206</v>
      </c>
      <c r="B209" s="11" t="s">
        <v>459</v>
      </c>
      <c r="C209" s="11" t="s">
        <v>472</v>
      </c>
      <c r="D209" s="12" t="s">
        <v>473</v>
      </c>
      <c r="E209" s="11" t="s">
        <v>184</v>
      </c>
      <c r="F209" s="10" t="n">
        <v>8.5</v>
      </c>
      <c r="G209" s="10" t="n">
        <v>6</v>
      </c>
      <c r="H209" s="10" t="n">
        <v>5</v>
      </c>
      <c r="I209" s="10" t="n">
        <v>8</v>
      </c>
      <c r="J209" s="10" t="n">
        <v>7</v>
      </c>
      <c r="K209" s="10" t="n">
        <v>5</v>
      </c>
      <c r="L209" s="13" t="n">
        <v>450</v>
      </c>
      <c r="M209" s="10" t="n">
        <v>6</v>
      </c>
      <c r="N209" s="10" t="n">
        <v>6</v>
      </c>
      <c r="O209" s="11" t="s">
        <v>48</v>
      </c>
      <c r="P209" s="10" t="s">
        <v>32</v>
      </c>
      <c r="Q209" s="10" t="n">
        <v>8</v>
      </c>
      <c r="R209" s="10" t="n">
        <v>7.5</v>
      </c>
      <c r="S209" s="10" t="n">
        <v>7.5</v>
      </c>
      <c r="T209" s="14" t="n">
        <f aca="false">ROUND(F209*0.15 + G209*0.08 + H209*0.08 + I209*0.1 + J209*0.08 + M209*0.1 + N209*0.05 + Q209*0.15 + R209*0.12 + S209*0.09, 2)</f>
        <v>7.19</v>
      </c>
    </row>
    <row r="210" customFormat="false" ht="15" hidden="false" customHeight="false" outlineLevel="0" collapsed="false">
      <c r="A210" s="5" t="n">
        <v>207</v>
      </c>
      <c r="B210" s="6" t="s">
        <v>459</v>
      </c>
      <c r="C210" s="6" t="s">
        <v>474</v>
      </c>
      <c r="D210" s="7" t="s">
        <v>475</v>
      </c>
      <c r="E210" s="6" t="s">
        <v>266</v>
      </c>
      <c r="F210" s="5" t="n">
        <v>8</v>
      </c>
      <c r="G210" s="5" t="n">
        <v>6</v>
      </c>
      <c r="H210" s="5" t="n">
        <v>6</v>
      </c>
      <c r="I210" s="5" t="n">
        <v>8</v>
      </c>
      <c r="J210" s="5" t="n">
        <v>7</v>
      </c>
      <c r="K210" s="5" t="n">
        <v>4</v>
      </c>
      <c r="L210" s="8" t="n">
        <v>350</v>
      </c>
      <c r="M210" s="5" t="n">
        <v>6</v>
      </c>
      <c r="N210" s="5" t="n">
        <v>7</v>
      </c>
      <c r="O210" s="6" t="s">
        <v>219</v>
      </c>
      <c r="P210" s="5" t="s">
        <v>220</v>
      </c>
      <c r="Q210" s="5" t="n">
        <v>8</v>
      </c>
      <c r="R210" s="5" t="n">
        <v>7</v>
      </c>
      <c r="S210" s="5" t="n">
        <v>8</v>
      </c>
      <c r="T210" s="9" t="n">
        <f aca="false">ROUND(F210*0.15 + G210*0.08 + H210*0.08 + I210*0.1 + J210*0.08 + M210*0.1 + N210*0.05 + Q210*0.15 + R210*0.12 + S210*0.09, 2)</f>
        <v>7.23</v>
      </c>
    </row>
    <row r="211" customFormat="false" ht="15" hidden="false" customHeight="false" outlineLevel="0" collapsed="false">
      <c r="A211" s="10" t="n">
        <v>208</v>
      </c>
      <c r="B211" s="11" t="s">
        <v>459</v>
      </c>
      <c r="C211" s="11" t="s">
        <v>476</v>
      </c>
      <c r="D211" s="12" t="s">
        <v>477</v>
      </c>
      <c r="E211" s="11" t="s">
        <v>102</v>
      </c>
      <c r="F211" s="10" t="n">
        <v>8.5</v>
      </c>
      <c r="G211" s="10" t="n">
        <v>5</v>
      </c>
      <c r="H211" s="10" t="n">
        <v>4</v>
      </c>
      <c r="I211" s="10" t="n">
        <v>8</v>
      </c>
      <c r="J211" s="10" t="n">
        <v>7</v>
      </c>
      <c r="K211" s="10" t="n">
        <v>5</v>
      </c>
      <c r="L211" s="13" t="n">
        <v>500</v>
      </c>
      <c r="M211" s="10" t="n">
        <v>6</v>
      </c>
      <c r="N211" s="10" t="n">
        <v>6</v>
      </c>
      <c r="O211" s="11" t="s">
        <v>26</v>
      </c>
      <c r="P211" s="10" t="s">
        <v>27</v>
      </c>
      <c r="Q211" s="10" t="n">
        <v>8.5</v>
      </c>
      <c r="R211" s="10" t="n">
        <v>7.5</v>
      </c>
      <c r="S211" s="10" t="n">
        <v>7.5</v>
      </c>
      <c r="T211" s="14" t="n">
        <f aca="false">ROUND(F211*0.15 + G211*0.08 + H211*0.08 + I211*0.1 + J211*0.08 + M211*0.1 + N211*0.05 + Q211*0.15 + R211*0.12 + S211*0.09, 2)</f>
        <v>7.11</v>
      </c>
    </row>
    <row r="212" customFormat="false" ht="15" hidden="false" customHeight="false" outlineLevel="0" collapsed="false">
      <c r="A212" s="5" t="n">
        <v>209</v>
      </c>
      <c r="B212" s="6" t="s">
        <v>459</v>
      </c>
      <c r="C212" s="6" t="s">
        <v>478</v>
      </c>
      <c r="D212" s="7" t="s">
        <v>479</v>
      </c>
      <c r="E212" s="6" t="s">
        <v>74</v>
      </c>
      <c r="F212" s="5" t="n">
        <v>8</v>
      </c>
      <c r="G212" s="5" t="n">
        <v>5</v>
      </c>
      <c r="H212" s="5" t="n">
        <v>6</v>
      </c>
      <c r="I212" s="5" t="n">
        <v>6</v>
      </c>
      <c r="J212" s="5" t="n">
        <v>7</v>
      </c>
      <c r="K212" s="5" t="n">
        <v>3</v>
      </c>
      <c r="L212" s="8" t="n">
        <v>300</v>
      </c>
      <c r="M212" s="5" t="n">
        <v>7</v>
      </c>
      <c r="N212" s="5" t="n">
        <v>8</v>
      </c>
      <c r="O212" s="6" t="s">
        <v>36</v>
      </c>
      <c r="P212" s="5" t="s">
        <v>37</v>
      </c>
      <c r="Q212" s="5" t="n">
        <v>8.5</v>
      </c>
      <c r="R212" s="5" t="n">
        <v>7</v>
      </c>
      <c r="S212" s="5" t="n">
        <v>9</v>
      </c>
      <c r="T212" s="9" t="n">
        <f aca="false">ROUND(F212*0.15 + G212*0.08 + H212*0.08 + I212*0.1 + J212*0.08 + M212*0.1 + N212*0.05 + Q212*0.15 + R212*0.12 + S212*0.09, 2)</f>
        <v>7.27</v>
      </c>
    </row>
    <row r="213" customFormat="false" ht="15" hidden="false" customHeight="false" outlineLevel="0" collapsed="false">
      <c r="A213" s="10" t="n">
        <v>210</v>
      </c>
      <c r="B213" s="11" t="s">
        <v>459</v>
      </c>
      <c r="C213" s="11" t="s">
        <v>480</v>
      </c>
      <c r="D213" s="12" t="s">
        <v>481</v>
      </c>
      <c r="E213" s="11" t="s">
        <v>25</v>
      </c>
      <c r="F213" s="10" t="n">
        <v>8</v>
      </c>
      <c r="G213" s="10" t="n">
        <v>5</v>
      </c>
      <c r="H213" s="10" t="n">
        <v>5</v>
      </c>
      <c r="I213" s="10" t="n">
        <v>6</v>
      </c>
      <c r="J213" s="10" t="n">
        <v>7</v>
      </c>
      <c r="K213" s="10" t="n">
        <v>3</v>
      </c>
      <c r="L213" s="13" t="n">
        <v>350</v>
      </c>
      <c r="M213" s="10" t="n">
        <v>7</v>
      </c>
      <c r="N213" s="10" t="n">
        <v>8</v>
      </c>
      <c r="O213" s="11" t="s">
        <v>36</v>
      </c>
      <c r="P213" s="10" t="s">
        <v>37</v>
      </c>
      <c r="Q213" s="10" t="n">
        <v>8.5</v>
      </c>
      <c r="R213" s="10" t="n">
        <v>7</v>
      </c>
      <c r="S213" s="10" t="n">
        <v>8</v>
      </c>
      <c r="T213" s="14" t="n">
        <f aca="false">ROUND(F213*0.15 + G213*0.08 + H213*0.08 + I213*0.1 + J213*0.08 + M213*0.1 + N213*0.05 + Q213*0.15 + R213*0.12 + S213*0.09, 2)</f>
        <v>7.1</v>
      </c>
    </row>
    <row r="214" customFormat="false" ht="15" hidden="false" customHeight="false" outlineLevel="0" collapsed="false">
      <c r="A214" s="5" t="n">
        <v>211</v>
      </c>
      <c r="B214" s="6" t="s">
        <v>459</v>
      </c>
      <c r="C214" s="6" t="s">
        <v>482</v>
      </c>
      <c r="D214" s="7" t="s">
        <v>483</v>
      </c>
      <c r="E214" s="6" t="s">
        <v>25</v>
      </c>
      <c r="F214" s="5" t="n">
        <v>7.8</v>
      </c>
      <c r="G214" s="5" t="n">
        <v>5</v>
      </c>
      <c r="H214" s="5" t="n">
        <v>5</v>
      </c>
      <c r="I214" s="5" t="n">
        <v>6</v>
      </c>
      <c r="J214" s="5" t="n">
        <v>7</v>
      </c>
      <c r="K214" s="5" t="n">
        <v>4</v>
      </c>
      <c r="L214" s="8" t="n">
        <v>350</v>
      </c>
      <c r="M214" s="5" t="n">
        <v>5</v>
      </c>
      <c r="N214" s="5" t="n">
        <v>7</v>
      </c>
      <c r="O214" s="6" t="s">
        <v>26</v>
      </c>
      <c r="P214" s="5" t="s">
        <v>27</v>
      </c>
      <c r="Q214" s="5" t="n">
        <v>8</v>
      </c>
      <c r="R214" s="5" t="n">
        <v>6.5</v>
      </c>
      <c r="S214" s="5" t="n">
        <v>8</v>
      </c>
      <c r="T214" s="9" t="n">
        <f aca="false">ROUND(F214*0.15 + G214*0.08 + H214*0.08 + I214*0.1 + J214*0.08 + M214*0.1 + N214*0.05 + Q214*0.15 + R214*0.12 + S214*0.09, 2)</f>
        <v>6.68</v>
      </c>
    </row>
    <row r="215" customFormat="false" ht="15" hidden="false" customHeight="false" outlineLevel="0" collapsed="false">
      <c r="A215" s="10" t="n">
        <v>212</v>
      </c>
      <c r="B215" s="11" t="s">
        <v>484</v>
      </c>
      <c r="C215" s="11" t="s">
        <v>485</v>
      </c>
      <c r="D215" s="12" t="s">
        <v>486</v>
      </c>
      <c r="E215" s="11" t="s">
        <v>225</v>
      </c>
      <c r="F215" s="10" t="n">
        <v>9</v>
      </c>
      <c r="G215" s="10" t="n">
        <v>10</v>
      </c>
      <c r="H215" s="10" t="n">
        <v>5</v>
      </c>
      <c r="I215" s="10" t="n">
        <v>8</v>
      </c>
      <c r="J215" s="10" t="n">
        <v>5</v>
      </c>
      <c r="K215" s="10" t="n">
        <v>8</v>
      </c>
      <c r="L215" s="13" t="n">
        <v>1000</v>
      </c>
      <c r="M215" s="10" t="n">
        <v>10</v>
      </c>
      <c r="N215" s="10" t="n">
        <v>8</v>
      </c>
      <c r="O215" s="11" t="s">
        <v>321</v>
      </c>
      <c r="P215" s="10" t="s">
        <v>487</v>
      </c>
      <c r="Q215" s="10" t="n">
        <v>7.5</v>
      </c>
      <c r="R215" s="10" t="n">
        <v>9.5</v>
      </c>
      <c r="S215" s="10" t="n">
        <v>7</v>
      </c>
      <c r="T215" s="14" t="n">
        <f aca="false">ROUND(F215*0.15 + G215*0.08 + H215*0.08 + I215*0.1 + J215*0.08 + M215*0.1 + N215*0.05 + Q215*0.15 + R215*0.12 + S215*0.09, 2)</f>
        <v>8.05</v>
      </c>
    </row>
    <row r="216" customFormat="false" ht="15" hidden="false" customHeight="false" outlineLevel="0" collapsed="false">
      <c r="A216" s="5" t="n">
        <v>213</v>
      </c>
      <c r="B216" s="6" t="s">
        <v>484</v>
      </c>
      <c r="C216" s="6" t="s">
        <v>488</v>
      </c>
      <c r="D216" s="7" t="s">
        <v>489</v>
      </c>
      <c r="E216" s="6" t="s">
        <v>155</v>
      </c>
      <c r="F216" s="5" t="n">
        <v>8</v>
      </c>
      <c r="G216" s="5" t="n">
        <v>7</v>
      </c>
      <c r="H216" s="5" t="n">
        <v>6</v>
      </c>
      <c r="I216" s="5" t="n">
        <v>8</v>
      </c>
      <c r="J216" s="5" t="n">
        <v>6</v>
      </c>
      <c r="K216" s="5" t="n">
        <v>5</v>
      </c>
      <c r="L216" s="8" t="n">
        <v>800</v>
      </c>
      <c r="M216" s="5" t="n">
        <v>8</v>
      </c>
      <c r="N216" s="5" t="n">
        <v>7</v>
      </c>
      <c r="O216" s="6" t="s">
        <v>36</v>
      </c>
      <c r="P216" s="5" t="s">
        <v>487</v>
      </c>
      <c r="Q216" s="5" t="n">
        <v>7</v>
      </c>
      <c r="R216" s="5" t="n">
        <v>8</v>
      </c>
      <c r="S216" s="5" t="n">
        <v>6.5</v>
      </c>
      <c r="T216" s="9" t="n">
        <f aca="false">ROUND(F216*0.15 + G216*0.08 + H216*0.08 + I216*0.1 + J216*0.08 + M216*0.1 + N216*0.05 + Q216*0.15 + R216*0.12 + S216*0.09, 2)</f>
        <v>7.27</v>
      </c>
    </row>
    <row r="217" customFormat="false" ht="15" hidden="false" customHeight="false" outlineLevel="0" collapsed="false">
      <c r="A217" s="10" t="n">
        <v>214</v>
      </c>
      <c r="B217" s="11" t="s">
        <v>484</v>
      </c>
      <c r="C217" s="11" t="s">
        <v>488</v>
      </c>
      <c r="D217" s="12" t="s">
        <v>490</v>
      </c>
      <c r="E217" s="11" t="s">
        <v>225</v>
      </c>
      <c r="F217" s="10" t="n">
        <v>8.5</v>
      </c>
      <c r="G217" s="10" t="n">
        <v>9</v>
      </c>
      <c r="H217" s="10" t="n">
        <v>5</v>
      </c>
      <c r="I217" s="10" t="n">
        <v>8</v>
      </c>
      <c r="J217" s="10" t="n">
        <v>6</v>
      </c>
      <c r="K217" s="10" t="n">
        <v>6</v>
      </c>
      <c r="L217" s="13" t="n">
        <v>800</v>
      </c>
      <c r="M217" s="10" t="n">
        <v>9</v>
      </c>
      <c r="N217" s="10" t="n">
        <v>8</v>
      </c>
      <c r="O217" s="11" t="s">
        <v>36</v>
      </c>
      <c r="P217" s="10" t="s">
        <v>487</v>
      </c>
      <c r="Q217" s="10" t="n">
        <v>7.5</v>
      </c>
      <c r="R217" s="10" t="n">
        <v>9</v>
      </c>
      <c r="S217" s="10" t="n">
        <v>7</v>
      </c>
      <c r="T217" s="14" t="n">
        <f aca="false">ROUND(F217*0.15 + G217*0.08 + H217*0.08 + I217*0.1 + J217*0.08 + M217*0.1 + N217*0.05 + Q217*0.15 + R217*0.12 + S217*0.09, 2)</f>
        <v>7.81</v>
      </c>
    </row>
    <row r="218" customFormat="false" ht="15" hidden="false" customHeight="false" outlineLevel="0" collapsed="false">
      <c r="A218" s="5" t="n">
        <v>215</v>
      </c>
      <c r="B218" s="6" t="s">
        <v>484</v>
      </c>
      <c r="C218" s="6" t="s">
        <v>491</v>
      </c>
      <c r="D218" s="7" t="s">
        <v>492</v>
      </c>
      <c r="E218" s="6" t="s">
        <v>116</v>
      </c>
      <c r="F218" s="5" t="n">
        <v>8.8</v>
      </c>
      <c r="G218" s="5" t="n">
        <v>5</v>
      </c>
      <c r="H218" s="5" t="n">
        <v>4</v>
      </c>
      <c r="I218" s="5" t="n">
        <v>8</v>
      </c>
      <c r="J218" s="5" t="n">
        <v>8</v>
      </c>
      <c r="K218" s="5" t="n">
        <v>6</v>
      </c>
      <c r="L218" s="8" t="n">
        <v>500</v>
      </c>
      <c r="M218" s="5" t="n">
        <v>7</v>
      </c>
      <c r="N218" s="5" t="n">
        <v>7</v>
      </c>
      <c r="O218" s="6" t="s">
        <v>26</v>
      </c>
      <c r="P218" s="5" t="s">
        <v>198</v>
      </c>
      <c r="Q218" s="5" t="n">
        <v>9</v>
      </c>
      <c r="R218" s="5" t="n">
        <v>7.5</v>
      </c>
      <c r="S218" s="5" t="n">
        <v>7.5</v>
      </c>
      <c r="T218" s="9" t="n">
        <f aca="false">ROUND(F218*0.15 + G218*0.08 + H218*0.08 + I218*0.1 + J218*0.08 + M218*0.1 + N218*0.05 + Q218*0.15 + R218*0.12 + S218*0.09, 2)</f>
        <v>7.46</v>
      </c>
    </row>
    <row r="219" customFormat="false" ht="15" hidden="false" customHeight="false" outlineLevel="0" collapsed="false">
      <c r="A219" s="10" t="n">
        <v>216</v>
      </c>
      <c r="B219" s="11" t="s">
        <v>484</v>
      </c>
      <c r="C219" s="11" t="s">
        <v>493</v>
      </c>
      <c r="D219" s="12" t="s">
        <v>256</v>
      </c>
      <c r="E219" s="11" t="s">
        <v>213</v>
      </c>
      <c r="F219" s="10" t="n">
        <v>8</v>
      </c>
      <c r="G219" s="10" t="n">
        <v>7</v>
      </c>
      <c r="H219" s="10" t="n">
        <v>7</v>
      </c>
      <c r="I219" s="10" t="n">
        <v>7</v>
      </c>
      <c r="J219" s="10" t="n">
        <v>7</v>
      </c>
      <c r="K219" s="10" t="n">
        <v>3</v>
      </c>
      <c r="L219" s="13" t="n">
        <v>400</v>
      </c>
      <c r="M219" s="10" t="n">
        <v>8</v>
      </c>
      <c r="N219" s="10" t="n">
        <v>8</v>
      </c>
      <c r="O219" s="11" t="s">
        <v>36</v>
      </c>
      <c r="P219" s="10" t="s">
        <v>487</v>
      </c>
      <c r="Q219" s="10" t="n">
        <v>7.5</v>
      </c>
      <c r="R219" s="10" t="n">
        <v>8</v>
      </c>
      <c r="S219" s="10" t="n">
        <v>8.5</v>
      </c>
      <c r="T219" s="14" t="n">
        <f aca="false">ROUND(F219*0.15 + G219*0.08 + H219*0.08 + I219*0.1 + J219*0.08 + M219*0.1 + N219*0.05 + Q219*0.15 + R219*0.12 + S219*0.09, 2)</f>
        <v>7.63</v>
      </c>
    </row>
    <row r="220" customFormat="false" ht="15" hidden="false" customHeight="false" outlineLevel="0" collapsed="false">
      <c r="A220" s="5" t="n">
        <v>217</v>
      </c>
      <c r="B220" s="6" t="s">
        <v>484</v>
      </c>
      <c r="C220" s="6" t="s">
        <v>494</v>
      </c>
      <c r="D220" s="7" t="s">
        <v>495</v>
      </c>
      <c r="E220" s="6" t="s">
        <v>496</v>
      </c>
      <c r="F220" s="5" t="n">
        <v>8</v>
      </c>
      <c r="G220" s="5" t="n">
        <v>6</v>
      </c>
      <c r="H220" s="5" t="n">
        <v>6</v>
      </c>
      <c r="I220" s="5" t="n">
        <v>8</v>
      </c>
      <c r="J220" s="5" t="n">
        <v>7</v>
      </c>
      <c r="K220" s="5" t="n">
        <v>4</v>
      </c>
      <c r="L220" s="8" t="n">
        <v>450</v>
      </c>
      <c r="M220" s="5" t="n">
        <v>6</v>
      </c>
      <c r="N220" s="5" t="n">
        <v>7</v>
      </c>
      <c r="O220" s="6" t="s">
        <v>26</v>
      </c>
      <c r="P220" s="5" t="s">
        <v>198</v>
      </c>
      <c r="Q220" s="5" t="n">
        <v>7.5</v>
      </c>
      <c r="R220" s="5" t="n">
        <v>7.5</v>
      </c>
      <c r="S220" s="5" t="n">
        <v>7.5</v>
      </c>
      <c r="T220" s="9" t="n">
        <f aca="false">ROUND(F220*0.15 + G220*0.08 + H220*0.08 + I220*0.1 + J220*0.08 + M220*0.1 + N220*0.05 + Q220*0.15 + R220*0.12 + S220*0.09, 2)</f>
        <v>7.17</v>
      </c>
    </row>
    <row r="221" customFormat="false" ht="15" hidden="false" customHeight="false" outlineLevel="0" collapsed="false">
      <c r="A221" s="10" t="n">
        <v>218</v>
      </c>
      <c r="B221" s="11" t="s">
        <v>484</v>
      </c>
      <c r="C221" s="11" t="s">
        <v>497</v>
      </c>
      <c r="D221" s="12" t="s">
        <v>498</v>
      </c>
      <c r="E221" s="11" t="s">
        <v>102</v>
      </c>
      <c r="F221" s="10" t="n">
        <v>8</v>
      </c>
      <c r="G221" s="10" t="n">
        <v>6</v>
      </c>
      <c r="H221" s="10" t="n">
        <v>5</v>
      </c>
      <c r="I221" s="10" t="n">
        <v>7</v>
      </c>
      <c r="J221" s="10" t="n">
        <v>7</v>
      </c>
      <c r="K221" s="10" t="n">
        <v>5</v>
      </c>
      <c r="L221" s="13" t="n">
        <v>500</v>
      </c>
      <c r="M221" s="10" t="n">
        <v>8</v>
      </c>
      <c r="N221" s="10" t="n">
        <v>7</v>
      </c>
      <c r="O221" s="11" t="s">
        <v>321</v>
      </c>
      <c r="P221" s="10" t="s">
        <v>487</v>
      </c>
      <c r="Q221" s="10" t="n">
        <v>7.5</v>
      </c>
      <c r="R221" s="10" t="n">
        <v>7.5</v>
      </c>
      <c r="S221" s="10" t="n">
        <v>7.5</v>
      </c>
      <c r="T221" s="14" t="n">
        <f aca="false">ROUND(F221*0.15 + G221*0.08 + H221*0.08 + I221*0.1 + J221*0.08 + M221*0.1 + N221*0.05 + Q221*0.15 + R221*0.12 + S221*0.09, 2)</f>
        <v>7.19</v>
      </c>
    </row>
    <row r="222" customFormat="false" ht="15" hidden="false" customHeight="false" outlineLevel="0" collapsed="false">
      <c r="A222" s="5" t="n">
        <v>219</v>
      </c>
      <c r="B222" s="6" t="s">
        <v>484</v>
      </c>
      <c r="C222" s="6" t="s">
        <v>499</v>
      </c>
      <c r="D222" s="7" t="s">
        <v>500</v>
      </c>
      <c r="E222" s="6" t="s">
        <v>80</v>
      </c>
      <c r="F222" s="5" t="n">
        <v>8.2</v>
      </c>
      <c r="G222" s="5" t="n">
        <v>7</v>
      </c>
      <c r="H222" s="5" t="n">
        <v>5</v>
      </c>
      <c r="I222" s="5" t="n">
        <v>7</v>
      </c>
      <c r="J222" s="5" t="n">
        <v>6</v>
      </c>
      <c r="K222" s="5" t="n">
        <v>3</v>
      </c>
      <c r="L222" s="8" t="n">
        <v>400</v>
      </c>
      <c r="M222" s="5" t="n">
        <v>6</v>
      </c>
      <c r="N222" s="5" t="n">
        <v>8</v>
      </c>
      <c r="O222" s="6" t="s">
        <v>36</v>
      </c>
      <c r="P222" s="6" t="s">
        <v>195</v>
      </c>
      <c r="Q222" s="5" t="n">
        <v>7.5</v>
      </c>
      <c r="R222" s="5" t="n">
        <v>7</v>
      </c>
      <c r="S222" s="5" t="n">
        <v>7.5</v>
      </c>
      <c r="T222" s="9" t="n">
        <f aca="false">ROUND(F222*0.15 + G222*0.08 + H222*0.08 + I222*0.1 + J222*0.08 + M222*0.1 + N222*0.05 + Q222*0.15 + R222*0.12 + S222*0.09, 2)</f>
        <v>7.01</v>
      </c>
    </row>
    <row r="223" customFormat="false" ht="15" hidden="false" customHeight="false" outlineLevel="0" collapsed="false">
      <c r="A223" s="10" t="n">
        <v>220</v>
      </c>
      <c r="B223" s="11" t="s">
        <v>484</v>
      </c>
      <c r="C223" s="11" t="s">
        <v>497</v>
      </c>
      <c r="D223" s="12" t="s">
        <v>501</v>
      </c>
      <c r="E223" s="11" t="s">
        <v>225</v>
      </c>
      <c r="F223" s="10" t="n">
        <v>7.8</v>
      </c>
      <c r="G223" s="10" t="n">
        <v>8</v>
      </c>
      <c r="H223" s="10" t="n">
        <v>5</v>
      </c>
      <c r="I223" s="10" t="n">
        <v>6</v>
      </c>
      <c r="J223" s="10" t="n">
        <v>5</v>
      </c>
      <c r="K223" s="10" t="n">
        <v>5</v>
      </c>
      <c r="L223" s="13" t="n">
        <v>400</v>
      </c>
      <c r="M223" s="10" t="n">
        <v>8</v>
      </c>
      <c r="N223" s="10" t="n">
        <v>8</v>
      </c>
      <c r="O223" s="11" t="s">
        <v>36</v>
      </c>
      <c r="P223" s="10" t="s">
        <v>487</v>
      </c>
      <c r="Q223" s="10" t="n">
        <v>6.5</v>
      </c>
      <c r="R223" s="10" t="n">
        <v>7</v>
      </c>
      <c r="S223" s="10" t="n">
        <v>7</v>
      </c>
      <c r="T223" s="14" t="n">
        <f aca="false">ROUND(F223*0.15 + G223*0.08 + H223*0.08 + I223*0.1 + J223*0.08 + M223*0.1 + N223*0.05 + Q223*0.15 + R223*0.12 + S223*0.09, 2)</f>
        <v>6.86</v>
      </c>
    </row>
    <row r="224" customFormat="false" ht="15" hidden="false" customHeight="false" outlineLevel="0" collapsed="false">
      <c r="A224" s="5" t="n">
        <v>221</v>
      </c>
      <c r="B224" s="6" t="s">
        <v>484</v>
      </c>
      <c r="C224" s="6" t="s">
        <v>502</v>
      </c>
      <c r="D224" s="7" t="s">
        <v>503</v>
      </c>
      <c r="E224" s="6" t="s">
        <v>25</v>
      </c>
      <c r="F224" s="5" t="n">
        <v>8.2</v>
      </c>
      <c r="G224" s="5" t="n">
        <v>6</v>
      </c>
      <c r="H224" s="5" t="n">
        <v>7</v>
      </c>
      <c r="I224" s="5" t="n">
        <v>7</v>
      </c>
      <c r="J224" s="5" t="n">
        <v>8</v>
      </c>
      <c r="K224" s="5" t="n">
        <v>3</v>
      </c>
      <c r="L224" s="8" t="n">
        <v>400</v>
      </c>
      <c r="M224" s="5" t="n">
        <v>8</v>
      </c>
      <c r="N224" s="5" t="n">
        <v>8</v>
      </c>
      <c r="O224" s="6" t="s">
        <v>36</v>
      </c>
      <c r="P224" s="5" t="s">
        <v>487</v>
      </c>
      <c r="Q224" s="5" t="n">
        <v>8.5</v>
      </c>
      <c r="R224" s="5" t="n">
        <v>8</v>
      </c>
      <c r="S224" s="5" t="n">
        <v>9</v>
      </c>
      <c r="T224" s="9" t="n">
        <f aca="false">ROUND(F224*0.15 + G224*0.08 + H224*0.08 + I224*0.1 + J224*0.08 + M224*0.1 + N224*0.05 + Q224*0.15 + R224*0.12 + S224*0.09, 2)</f>
        <v>7.86</v>
      </c>
    </row>
    <row r="225" customFormat="false" ht="15" hidden="false" customHeight="false" outlineLevel="0" collapsed="false">
      <c r="A225" s="10" t="n">
        <v>222</v>
      </c>
      <c r="B225" s="11" t="s">
        <v>484</v>
      </c>
      <c r="C225" s="11" t="s">
        <v>504</v>
      </c>
      <c r="D225" s="12" t="s">
        <v>505</v>
      </c>
      <c r="E225" s="11" t="s">
        <v>71</v>
      </c>
      <c r="F225" s="10" t="n">
        <v>8</v>
      </c>
      <c r="G225" s="10" t="n">
        <v>6</v>
      </c>
      <c r="H225" s="10" t="n">
        <v>6</v>
      </c>
      <c r="I225" s="10" t="n">
        <v>7</v>
      </c>
      <c r="J225" s="10" t="n">
        <v>7</v>
      </c>
      <c r="K225" s="10" t="n">
        <v>4</v>
      </c>
      <c r="L225" s="13" t="n">
        <v>400</v>
      </c>
      <c r="M225" s="10" t="n">
        <v>7</v>
      </c>
      <c r="N225" s="10" t="n">
        <v>7</v>
      </c>
      <c r="O225" s="11" t="s">
        <v>321</v>
      </c>
      <c r="P225" s="10" t="s">
        <v>487</v>
      </c>
      <c r="Q225" s="10" t="n">
        <v>7.5</v>
      </c>
      <c r="R225" s="10" t="n">
        <v>7.5</v>
      </c>
      <c r="S225" s="10" t="n">
        <v>8</v>
      </c>
      <c r="T225" s="14" t="n">
        <f aca="false">ROUND(F225*0.15 + G225*0.08 + H225*0.08 + I225*0.1 + J225*0.08 + M225*0.1 + N225*0.05 + Q225*0.15 + R225*0.12 + S225*0.09, 2)</f>
        <v>7.22</v>
      </c>
    </row>
    <row r="226" customFormat="false" ht="15" hidden="false" customHeight="false" outlineLevel="0" collapsed="false">
      <c r="A226" s="5" t="n">
        <v>223</v>
      </c>
      <c r="B226" s="6" t="s">
        <v>484</v>
      </c>
      <c r="C226" s="6" t="s">
        <v>506</v>
      </c>
      <c r="D226" s="7" t="s">
        <v>507</v>
      </c>
      <c r="E226" s="6" t="s">
        <v>137</v>
      </c>
      <c r="F226" s="5" t="n">
        <v>8.3</v>
      </c>
      <c r="G226" s="5" t="n">
        <v>8</v>
      </c>
      <c r="H226" s="5" t="n">
        <v>5</v>
      </c>
      <c r="I226" s="5" t="n">
        <v>8</v>
      </c>
      <c r="J226" s="5" t="n">
        <v>6</v>
      </c>
      <c r="K226" s="5" t="n">
        <v>5</v>
      </c>
      <c r="L226" s="8" t="n">
        <v>600</v>
      </c>
      <c r="M226" s="5" t="n">
        <v>7</v>
      </c>
      <c r="N226" s="5" t="n">
        <v>6</v>
      </c>
      <c r="O226" s="6" t="s">
        <v>61</v>
      </c>
      <c r="P226" s="5" t="s">
        <v>45</v>
      </c>
      <c r="Q226" s="5" t="n">
        <v>7.5</v>
      </c>
      <c r="R226" s="5" t="n">
        <v>8</v>
      </c>
      <c r="S226" s="5" t="n">
        <v>7</v>
      </c>
      <c r="T226" s="9" t="n">
        <f aca="false">ROUND(F226*0.15 + G226*0.08 + H226*0.08 + I226*0.1 + J226*0.08 + M226*0.1 + N226*0.05 + Q226*0.15 + R226*0.12 + S226*0.09, 2)</f>
        <v>7.28</v>
      </c>
    </row>
    <row r="227" customFormat="false" ht="15" hidden="false" customHeight="false" outlineLevel="0" collapsed="false">
      <c r="A227" s="10" t="n">
        <v>224</v>
      </c>
      <c r="B227" s="11" t="s">
        <v>484</v>
      </c>
      <c r="C227" s="11" t="s">
        <v>508</v>
      </c>
      <c r="D227" s="12" t="s">
        <v>509</v>
      </c>
      <c r="E227" s="11" t="s">
        <v>510</v>
      </c>
      <c r="F227" s="10" t="n">
        <v>8.3</v>
      </c>
      <c r="G227" s="10" t="n">
        <v>7</v>
      </c>
      <c r="H227" s="10" t="n">
        <v>5</v>
      </c>
      <c r="I227" s="10" t="n">
        <v>8</v>
      </c>
      <c r="J227" s="10" t="n">
        <v>7</v>
      </c>
      <c r="K227" s="10" t="n">
        <v>5</v>
      </c>
      <c r="L227" s="13" t="n">
        <v>500</v>
      </c>
      <c r="M227" s="10" t="n">
        <v>6</v>
      </c>
      <c r="N227" s="10" t="n">
        <v>7</v>
      </c>
      <c r="O227" s="11" t="s">
        <v>48</v>
      </c>
      <c r="P227" s="10" t="s">
        <v>32</v>
      </c>
      <c r="Q227" s="10" t="n">
        <v>7.5</v>
      </c>
      <c r="R227" s="10" t="n">
        <v>7</v>
      </c>
      <c r="S227" s="10" t="n">
        <v>7.5</v>
      </c>
      <c r="T227" s="14" t="n">
        <f aca="false">ROUND(F227*0.15 + G227*0.08 + H227*0.08 + I227*0.1 + J227*0.08 + M227*0.1 + N227*0.05 + Q227*0.15 + R227*0.12 + S227*0.09, 2)</f>
        <v>7.16</v>
      </c>
    </row>
    <row r="228" customFormat="false" ht="15" hidden="false" customHeight="false" outlineLevel="0" collapsed="false">
      <c r="A228" s="5" t="n">
        <v>225</v>
      </c>
      <c r="B228" s="6" t="s">
        <v>484</v>
      </c>
      <c r="C228" s="6" t="s">
        <v>511</v>
      </c>
      <c r="D228" s="7" t="s">
        <v>512</v>
      </c>
      <c r="E228" s="6" t="s">
        <v>25</v>
      </c>
      <c r="F228" s="5" t="n">
        <v>8.5</v>
      </c>
      <c r="G228" s="5" t="n">
        <v>7</v>
      </c>
      <c r="H228" s="5" t="n">
        <v>7</v>
      </c>
      <c r="I228" s="5" t="n">
        <v>8</v>
      </c>
      <c r="J228" s="5" t="n">
        <v>8</v>
      </c>
      <c r="K228" s="5" t="n">
        <v>4</v>
      </c>
      <c r="L228" s="8" t="n">
        <v>400</v>
      </c>
      <c r="M228" s="5" t="n">
        <v>7</v>
      </c>
      <c r="N228" s="5" t="n">
        <v>8</v>
      </c>
      <c r="O228" s="6" t="s">
        <v>321</v>
      </c>
      <c r="P228" s="5" t="s">
        <v>487</v>
      </c>
      <c r="Q228" s="5" t="n">
        <v>8.5</v>
      </c>
      <c r="R228" s="5" t="n">
        <v>8</v>
      </c>
      <c r="S228" s="5" t="n">
        <v>8.5</v>
      </c>
      <c r="T228" s="9" t="n">
        <f aca="false">ROUND(F228*0.15 + G228*0.08 + H228*0.08 + I228*0.1 + J228*0.08 + M228*0.1 + N228*0.05 + Q228*0.15 + R228*0.12 + S228*0.09, 2)</f>
        <v>7.94</v>
      </c>
    </row>
    <row r="229" customFormat="false" ht="15" hidden="false" customHeight="false" outlineLevel="0" collapsed="false">
      <c r="A229" s="10" t="n">
        <v>226</v>
      </c>
      <c r="B229" s="11" t="s">
        <v>484</v>
      </c>
      <c r="C229" s="11" t="s">
        <v>513</v>
      </c>
      <c r="D229" s="12" t="s">
        <v>514</v>
      </c>
      <c r="E229" s="11" t="s">
        <v>25</v>
      </c>
      <c r="F229" s="10" t="n">
        <v>7.5</v>
      </c>
      <c r="G229" s="10" t="n">
        <v>6</v>
      </c>
      <c r="H229" s="10" t="n">
        <v>6</v>
      </c>
      <c r="I229" s="10" t="n">
        <v>6</v>
      </c>
      <c r="J229" s="10" t="n">
        <v>6</v>
      </c>
      <c r="K229" s="10" t="n">
        <v>2</v>
      </c>
      <c r="L229" s="13" t="n">
        <v>350</v>
      </c>
      <c r="M229" s="10" t="n">
        <v>7</v>
      </c>
      <c r="N229" s="10" t="n">
        <v>8</v>
      </c>
      <c r="O229" s="11" t="s">
        <v>36</v>
      </c>
      <c r="P229" s="10" t="s">
        <v>487</v>
      </c>
      <c r="Q229" s="10" t="n">
        <v>7</v>
      </c>
      <c r="R229" s="10" t="n">
        <v>7</v>
      </c>
      <c r="S229" s="10" t="n">
        <v>8</v>
      </c>
      <c r="T229" s="14" t="n">
        <f aca="false">ROUND(F229*0.15 + G229*0.08 + H229*0.08 + I229*0.1 + J229*0.08 + M229*0.1 + N229*0.05 + Q229*0.15 + R229*0.12 + S229*0.09, 2)</f>
        <v>6.88</v>
      </c>
    </row>
    <row r="230" customFormat="false" ht="15" hidden="false" customHeight="false" outlineLevel="0" collapsed="false">
      <c r="A230" s="5" t="n">
        <v>227</v>
      </c>
      <c r="B230" s="6" t="s">
        <v>484</v>
      </c>
      <c r="C230" s="6" t="s">
        <v>515</v>
      </c>
      <c r="D230" s="7" t="s">
        <v>516</v>
      </c>
      <c r="E230" s="6" t="s">
        <v>139</v>
      </c>
      <c r="F230" s="5" t="n">
        <v>9.2</v>
      </c>
      <c r="G230" s="5" t="n">
        <v>10</v>
      </c>
      <c r="H230" s="5" t="n">
        <v>5</v>
      </c>
      <c r="I230" s="5" t="n">
        <v>8</v>
      </c>
      <c r="J230" s="5" t="n">
        <v>6</v>
      </c>
      <c r="K230" s="5" t="n">
        <v>7</v>
      </c>
      <c r="L230" s="8" t="n">
        <v>900</v>
      </c>
      <c r="M230" s="5" t="n">
        <v>9</v>
      </c>
      <c r="N230" s="5" t="n">
        <v>8</v>
      </c>
      <c r="O230" s="6" t="s">
        <v>36</v>
      </c>
      <c r="P230" s="6" t="s">
        <v>195</v>
      </c>
      <c r="Q230" s="5" t="n">
        <v>7.5</v>
      </c>
      <c r="R230" s="5" t="n">
        <v>9.5</v>
      </c>
      <c r="S230" s="5" t="n">
        <v>7</v>
      </c>
      <c r="T230" s="9" t="n">
        <f aca="false">ROUND(F230*0.15 + G230*0.08 + H230*0.08 + I230*0.1 + J230*0.08 + M230*0.1 + N230*0.05 + Q230*0.15 + R230*0.12 + S230*0.09, 2)</f>
        <v>8.06</v>
      </c>
    </row>
    <row r="231" customFormat="false" ht="15" hidden="false" customHeight="false" outlineLevel="0" collapsed="false">
      <c r="A231" s="10" t="n">
        <v>228</v>
      </c>
      <c r="B231" s="11" t="s">
        <v>517</v>
      </c>
      <c r="C231" s="11" t="s">
        <v>518</v>
      </c>
      <c r="D231" s="12" t="s">
        <v>519</v>
      </c>
      <c r="E231" s="11" t="s">
        <v>71</v>
      </c>
      <c r="F231" s="10" t="n">
        <v>9.3</v>
      </c>
      <c r="G231" s="10" t="n">
        <v>7</v>
      </c>
      <c r="H231" s="10" t="n">
        <v>5</v>
      </c>
      <c r="I231" s="10" t="n">
        <v>9</v>
      </c>
      <c r="J231" s="10" t="n">
        <v>8</v>
      </c>
      <c r="K231" s="10" t="n">
        <v>5</v>
      </c>
      <c r="L231" s="13" t="n">
        <v>600</v>
      </c>
      <c r="M231" s="10" t="n">
        <v>8</v>
      </c>
      <c r="N231" s="10" t="n">
        <v>7</v>
      </c>
      <c r="O231" s="11" t="s">
        <v>321</v>
      </c>
      <c r="P231" s="10" t="s">
        <v>293</v>
      </c>
      <c r="Q231" s="10" t="n">
        <v>10</v>
      </c>
      <c r="R231" s="10" t="n">
        <v>8</v>
      </c>
      <c r="S231" s="10" t="n">
        <v>8</v>
      </c>
      <c r="T231" s="14" t="n">
        <f aca="false">ROUND(F231*0.15 + G231*0.08 + H231*0.08 + I231*0.1 + J231*0.08 + M231*0.1 + N231*0.05 + Q231*0.15 + R231*0.12 + S231*0.09, 2)</f>
        <v>8.23</v>
      </c>
    </row>
    <row r="232" customFormat="false" ht="15" hidden="false" customHeight="false" outlineLevel="0" collapsed="false">
      <c r="A232" s="5" t="n">
        <v>229</v>
      </c>
      <c r="B232" s="6" t="s">
        <v>517</v>
      </c>
      <c r="C232" s="6" t="s">
        <v>518</v>
      </c>
      <c r="D232" s="7" t="s">
        <v>520</v>
      </c>
      <c r="E232" s="6" t="s">
        <v>25</v>
      </c>
      <c r="F232" s="5" t="n">
        <v>8.3</v>
      </c>
      <c r="G232" s="5" t="n">
        <v>6</v>
      </c>
      <c r="H232" s="5" t="n">
        <v>6</v>
      </c>
      <c r="I232" s="5" t="n">
        <v>7</v>
      </c>
      <c r="J232" s="5" t="n">
        <v>8</v>
      </c>
      <c r="K232" s="5" t="n">
        <v>2</v>
      </c>
      <c r="L232" s="8" t="n">
        <v>500</v>
      </c>
      <c r="M232" s="5" t="n">
        <v>9</v>
      </c>
      <c r="N232" s="5" t="n">
        <v>8</v>
      </c>
      <c r="O232" s="6" t="s">
        <v>36</v>
      </c>
      <c r="P232" s="5" t="s">
        <v>37</v>
      </c>
      <c r="Q232" s="5" t="n">
        <v>8.5</v>
      </c>
      <c r="R232" s="5" t="n">
        <v>8</v>
      </c>
      <c r="S232" s="5" t="n">
        <v>8</v>
      </c>
      <c r="T232" s="9" t="n">
        <f aca="false">ROUND(F232*0.15 + G232*0.08 + H232*0.08 + I232*0.1 + J232*0.08 + M232*0.1 + N232*0.05 + Q232*0.15 + R232*0.12 + S232*0.09, 2)</f>
        <v>7.8</v>
      </c>
    </row>
    <row r="233" customFormat="false" ht="15" hidden="false" customHeight="false" outlineLevel="0" collapsed="false">
      <c r="A233" s="10" t="n">
        <v>230</v>
      </c>
      <c r="B233" s="11" t="s">
        <v>517</v>
      </c>
      <c r="C233" s="11" t="s">
        <v>518</v>
      </c>
      <c r="D233" s="12" t="s">
        <v>521</v>
      </c>
      <c r="E233" s="11" t="s">
        <v>522</v>
      </c>
      <c r="F233" s="10" t="n">
        <v>8.5</v>
      </c>
      <c r="G233" s="10" t="n">
        <v>7</v>
      </c>
      <c r="H233" s="10" t="n">
        <v>7</v>
      </c>
      <c r="I233" s="10" t="n">
        <v>9</v>
      </c>
      <c r="J233" s="10" t="n">
        <v>8</v>
      </c>
      <c r="K233" s="10" t="n">
        <v>3</v>
      </c>
      <c r="L233" s="13" t="n">
        <v>500</v>
      </c>
      <c r="M233" s="10" t="n">
        <v>9</v>
      </c>
      <c r="N233" s="10" t="n">
        <v>8</v>
      </c>
      <c r="O233" s="11" t="s">
        <v>36</v>
      </c>
      <c r="P233" s="10" t="s">
        <v>37</v>
      </c>
      <c r="Q233" s="10" t="n">
        <v>8</v>
      </c>
      <c r="R233" s="10" t="n">
        <v>8.5</v>
      </c>
      <c r="S233" s="10" t="n">
        <v>8</v>
      </c>
      <c r="T233" s="14" t="n">
        <f aca="false">ROUND(F233*0.15 + G233*0.08 + H233*0.08 + I233*0.1 + J233*0.08 + M233*0.1 + N233*0.05 + Q233*0.15 + R233*0.12 + S233*0.09, 2)</f>
        <v>8.18</v>
      </c>
    </row>
    <row r="234" customFormat="false" ht="15" hidden="false" customHeight="false" outlineLevel="0" collapsed="false">
      <c r="A234" s="5" t="n">
        <v>231</v>
      </c>
      <c r="B234" s="6" t="s">
        <v>517</v>
      </c>
      <c r="C234" s="6" t="s">
        <v>523</v>
      </c>
      <c r="D234" s="7" t="s">
        <v>524</v>
      </c>
      <c r="E234" s="6" t="s">
        <v>175</v>
      </c>
      <c r="F234" s="5" t="n">
        <v>8.3</v>
      </c>
      <c r="G234" s="5" t="n">
        <v>7</v>
      </c>
      <c r="H234" s="5" t="n">
        <v>7</v>
      </c>
      <c r="I234" s="5" t="n">
        <v>7</v>
      </c>
      <c r="J234" s="5" t="n">
        <v>7</v>
      </c>
      <c r="K234" s="5" t="n">
        <v>4</v>
      </c>
      <c r="L234" s="8" t="n">
        <v>400</v>
      </c>
      <c r="M234" s="5" t="n">
        <v>9</v>
      </c>
      <c r="N234" s="5" t="n">
        <v>7</v>
      </c>
      <c r="O234" s="6" t="s">
        <v>525</v>
      </c>
      <c r="P234" s="5" t="s">
        <v>526</v>
      </c>
      <c r="Q234" s="5" t="n">
        <v>7.5</v>
      </c>
      <c r="R234" s="5" t="n">
        <v>8.5</v>
      </c>
      <c r="S234" s="5" t="n">
        <v>8.5</v>
      </c>
      <c r="T234" s="9" t="n">
        <f aca="false">ROUND(F234*0.15 + G234*0.08 + H234*0.08 + I234*0.1 + J234*0.08 + M234*0.1 + N234*0.05 + Q234*0.15 + R234*0.12 + S234*0.09, 2)</f>
        <v>7.79</v>
      </c>
    </row>
    <row r="235" customFormat="false" ht="15" hidden="false" customHeight="false" outlineLevel="0" collapsed="false">
      <c r="A235" s="10" t="n">
        <v>232</v>
      </c>
      <c r="B235" s="11" t="s">
        <v>517</v>
      </c>
      <c r="C235" s="11" t="s">
        <v>527</v>
      </c>
      <c r="D235" s="12" t="s">
        <v>528</v>
      </c>
      <c r="E235" s="11" t="s">
        <v>529</v>
      </c>
      <c r="F235" s="10" t="n">
        <v>8.8</v>
      </c>
      <c r="G235" s="10" t="n">
        <v>6</v>
      </c>
      <c r="H235" s="10" t="n">
        <v>4</v>
      </c>
      <c r="I235" s="10" t="n">
        <v>8</v>
      </c>
      <c r="J235" s="10" t="n">
        <v>7</v>
      </c>
      <c r="K235" s="10" t="n">
        <v>5</v>
      </c>
      <c r="L235" s="13" t="n">
        <v>600</v>
      </c>
      <c r="M235" s="10" t="n">
        <v>5</v>
      </c>
      <c r="N235" s="10" t="n">
        <v>5</v>
      </c>
      <c r="O235" s="11" t="s">
        <v>61</v>
      </c>
      <c r="P235" s="10" t="s">
        <v>64</v>
      </c>
      <c r="Q235" s="10" t="n">
        <v>9</v>
      </c>
      <c r="R235" s="10" t="n">
        <v>7</v>
      </c>
      <c r="S235" s="10" t="n">
        <v>7</v>
      </c>
      <c r="T235" s="14" t="n">
        <f aca="false">ROUND(F235*0.15 + G235*0.08 + H235*0.08 + I235*0.1 + J235*0.08 + M235*0.1 + N235*0.05 + Q235*0.15 + R235*0.12 + S235*0.09, 2)</f>
        <v>7.05</v>
      </c>
    </row>
    <row r="236" customFormat="false" ht="15" hidden="false" customHeight="false" outlineLevel="0" collapsed="false">
      <c r="A236" s="5" t="n">
        <v>233</v>
      </c>
      <c r="B236" s="6" t="s">
        <v>517</v>
      </c>
      <c r="C236" s="6" t="s">
        <v>530</v>
      </c>
      <c r="D236" s="7" t="s">
        <v>531</v>
      </c>
      <c r="E236" s="6" t="s">
        <v>74</v>
      </c>
      <c r="F236" s="5" t="n">
        <v>8.2</v>
      </c>
      <c r="G236" s="5" t="n">
        <v>5</v>
      </c>
      <c r="H236" s="5" t="n">
        <v>6</v>
      </c>
      <c r="I236" s="5" t="n">
        <v>6</v>
      </c>
      <c r="J236" s="5" t="n">
        <v>7</v>
      </c>
      <c r="K236" s="5" t="n">
        <v>3</v>
      </c>
      <c r="L236" s="8" t="n">
        <v>350</v>
      </c>
      <c r="M236" s="5" t="n">
        <v>6</v>
      </c>
      <c r="N236" s="5" t="n">
        <v>8</v>
      </c>
      <c r="O236" s="6" t="s">
        <v>36</v>
      </c>
      <c r="P236" s="5" t="s">
        <v>37</v>
      </c>
      <c r="Q236" s="5" t="n">
        <v>8.5</v>
      </c>
      <c r="R236" s="5" t="n">
        <v>7</v>
      </c>
      <c r="S236" s="5" t="n">
        <v>8.5</v>
      </c>
      <c r="T236" s="9" t="n">
        <f aca="false">ROUND(F236*0.15 + G236*0.08 + H236*0.08 + I236*0.1 + J236*0.08 + M236*0.1 + N236*0.05 + Q236*0.15 + R236*0.12 + S236*0.09, 2)</f>
        <v>7.15</v>
      </c>
    </row>
    <row r="237" customFormat="false" ht="15" hidden="false" customHeight="false" outlineLevel="0" collapsed="false">
      <c r="A237" s="10" t="n">
        <v>234</v>
      </c>
      <c r="B237" s="11" t="s">
        <v>517</v>
      </c>
      <c r="C237" s="11" t="s">
        <v>518</v>
      </c>
      <c r="D237" s="12" t="s">
        <v>532</v>
      </c>
      <c r="E237" s="11" t="s">
        <v>102</v>
      </c>
      <c r="F237" s="10" t="n">
        <v>8.8</v>
      </c>
      <c r="G237" s="10" t="n">
        <v>5</v>
      </c>
      <c r="H237" s="10" t="n">
        <v>3</v>
      </c>
      <c r="I237" s="10" t="n">
        <v>8</v>
      </c>
      <c r="J237" s="10" t="n">
        <v>8</v>
      </c>
      <c r="K237" s="10" t="n">
        <v>5</v>
      </c>
      <c r="L237" s="13" t="n">
        <v>500</v>
      </c>
      <c r="M237" s="10" t="n">
        <v>5</v>
      </c>
      <c r="N237" s="10" t="n">
        <v>4</v>
      </c>
      <c r="O237" s="11" t="s">
        <v>26</v>
      </c>
      <c r="P237" s="10" t="s">
        <v>27</v>
      </c>
      <c r="Q237" s="10" t="n">
        <v>9</v>
      </c>
      <c r="R237" s="10" t="n">
        <v>6.5</v>
      </c>
      <c r="S237" s="10" t="n">
        <v>7.5</v>
      </c>
      <c r="T237" s="14" t="n">
        <f aca="false">ROUND(F237*0.15 + G237*0.08 + H237*0.08 + I237*0.1 + J237*0.08 + M237*0.1 + N237*0.05 + Q237*0.15 + R237*0.12 + S237*0.09, 2)</f>
        <v>6.91</v>
      </c>
    </row>
    <row r="238" customFormat="false" ht="15" hidden="false" customHeight="false" outlineLevel="0" collapsed="false">
      <c r="A238" s="5" t="n">
        <v>235</v>
      </c>
      <c r="B238" s="6" t="s">
        <v>517</v>
      </c>
      <c r="C238" s="6" t="s">
        <v>533</v>
      </c>
      <c r="D238" s="7" t="s">
        <v>534</v>
      </c>
      <c r="E238" s="6" t="s">
        <v>510</v>
      </c>
      <c r="F238" s="5" t="n">
        <v>8.5</v>
      </c>
      <c r="G238" s="5" t="n">
        <v>6</v>
      </c>
      <c r="H238" s="5" t="n">
        <v>4</v>
      </c>
      <c r="I238" s="5" t="n">
        <v>9</v>
      </c>
      <c r="J238" s="5" t="n">
        <v>7</v>
      </c>
      <c r="K238" s="5" t="n">
        <v>6</v>
      </c>
      <c r="L238" s="8" t="n">
        <v>600</v>
      </c>
      <c r="M238" s="5" t="n">
        <v>6</v>
      </c>
      <c r="N238" s="5" t="n">
        <v>5</v>
      </c>
      <c r="O238" s="6" t="s">
        <v>321</v>
      </c>
      <c r="P238" s="5" t="s">
        <v>487</v>
      </c>
      <c r="Q238" s="5" t="n">
        <v>8.5</v>
      </c>
      <c r="R238" s="5" t="n">
        <v>7</v>
      </c>
      <c r="S238" s="5" t="n">
        <v>7</v>
      </c>
      <c r="T238" s="9" t="n">
        <f aca="false">ROUND(F238*0.15 + G238*0.08 + H238*0.08 + I238*0.1 + J238*0.08 + M238*0.1 + N238*0.05 + Q238*0.15 + R238*0.12 + S238*0.09, 2)</f>
        <v>7.13</v>
      </c>
    </row>
    <row r="239" customFormat="false" ht="15" hidden="false" customHeight="false" outlineLevel="0" collapsed="false">
      <c r="A239" s="10" t="n">
        <v>236</v>
      </c>
      <c r="B239" s="11" t="s">
        <v>517</v>
      </c>
      <c r="C239" s="11" t="s">
        <v>535</v>
      </c>
      <c r="D239" s="12" t="s">
        <v>536</v>
      </c>
      <c r="E239" s="11" t="s">
        <v>537</v>
      </c>
      <c r="F239" s="10" t="n">
        <v>7.8</v>
      </c>
      <c r="G239" s="10" t="n">
        <v>5</v>
      </c>
      <c r="H239" s="10" t="n">
        <v>4</v>
      </c>
      <c r="I239" s="10" t="n">
        <v>7</v>
      </c>
      <c r="J239" s="10" t="n">
        <v>7</v>
      </c>
      <c r="K239" s="10" t="n">
        <v>5</v>
      </c>
      <c r="L239" s="13" t="n">
        <v>400</v>
      </c>
      <c r="M239" s="10" t="n">
        <v>5</v>
      </c>
      <c r="N239" s="10" t="n">
        <v>6</v>
      </c>
      <c r="O239" s="11" t="s">
        <v>26</v>
      </c>
      <c r="P239" s="10" t="s">
        <v>27</v>
      </c>
      <c r="Q239" s="10" t="n">
        <v>7.5</v>
      </c>
      <c r="R239" s="10" t="n">
        <v>6.5</v>
      </c>
      <c r="S239" s="10" t="n">
        <v>7.5</v>
      </c>
      <c r="T239" s="14" t="n">
        <f aca="false">ROUND(F239*0.15 + G239*0.08 + H239*0.08 + I239*0.1 + J239*0.08 + M239*0.1 + N239*0.05 + Q239*0.15 + R239*0.12 + S239*0.09, 2)</f>
        <v>6.53</v>
      </c>
    </row>
    <row r="240" customFormat="false" ht="15" hidden="false" customHeight="false" outlineLevel="0" collapsed="false">
      <c r="A240" s="5" t="n">
        <v>237</v>
      </c>
      <c r="B240" s="6" t="s">
        <v>538</v>
      </c>
      <c r="C240" s="6" t="s">
        <v>539</v>
      </c>
      <c r="D240" s="7" t="s">
        <v>540</v>
      </c>
      <c r="E240" s="6" t="s">
        <v>541</v>
      </c>
      <c r="F240" s="5" t="n">
        <v>9</v>
      </c>
      <c r="G240" s="5" t="n">
        <v>7</v>
      </c>
      <c r="H240" s="5" t="n">
        <v>4</v>
      </c>
      <c r="I240" s="5" t="n">
        <v>10</v>
      </c>
      <c r="J240" s="5" t="n">
        <v>6</v>
      </c>
      <c r="K240" s="5" t="n">
        <v>6</v>
      </c>
      <c r="L240" s="8" t="n">
        <v>1200</v>
      </c>
      <c r="M240" s="5" t="n">
        <v>8</v>
      </c>
      <c r="N240" s="5" t="n">
        <v>6</v>
      </c>
      <c r="O240" s="6" t="s">
        <v>542</v>
      </c>
      <c r="P240" s="5" t="s">
        <v>487</v>
      </c>
      <c r="Q240" s="5" t="n">
        <v>8.5</v>
      </c>
      <c r="R240" s="5" t="n">
        <v>9</v>
      </c>
      <c r="S240" s="5" t="n">
        <v>6.5</v>
      </c>
      <c r="T240" s="9" t="n">
        <f aca="false">ROUND(F240*0.15 + G240*0.08 + H240*0.08 + I240*0.1 + J240*0.08 + M240*0.1 + N240*0.05 + Q240*0.15 + R240*0.12 + S240*0.09, 2)</f>
        <v>7.75</v>
      </c>
    </row>
    <row r="241" customFormat="false" ht="15" hidden="false" customHeight="false" outlineLevel="0" collapsed="false">
      <c r="A241" s="10" t="n">
        <v>238</v>
      </c>
      <c r="B241" s="11" t="s">
        <v>538</v>
      </c>
      <c r="C241" s="11" t="s">
        <v>539</v>
      </c>
      <c r="D241" s="12" t="s">
        <v>543</v>
      </c>
      <c r="E241" s="11" t="s">
        <v>92</v>
      </c>
      <c r="F241" s="10" t="n">
        <v>8.5</v>
      </c>
      <c r="G241" s="10" t="n">
        <v>7</v>
      </c>
      <c r="H241" s="10" t="n">
        <v>6</v>
      </c>
      <c r="I241" s="10" t="n">
        <v>8</v>
      </c>
      <c r="J241" s="10" t="n">
        <v>7</v>
      </c>
      <c r="K241" s="10" t="n">
        <v>5</v>
      </c>
      <c r="L241" s="13" t="n">
        <v>800</v>
      </c>
      <c r="M241" s="10" t="n">
        <v>8</v>
      </c>
      <c r="N241" s="10" t="n">
        <v>7</v>
      </c>
      <c r="O241" s="11" t="s">
        <v>542</v>
      </c>
      <c r="P241" s="10" t="s">
        <v>487</v>
      </c>
      <c r="Q241" s="10" t="n">
        <v>8</v>
      </c>
      <c r="R241" s="10" t="n">
        <v>8.5</v>
      </c>
      <c r="S241" s="10" t="n">
        <v>7</v>
      </c>
      <c r="T241" s="14" t="n">
        <f aca="false">ROUND(F241*0.15 + G241*0.08 + H241*0.08 + I241*0.1 + J241*0.08 + M241*0.1 + N241*0.05 + Q241*0.15 + R241*0.12 + S241*0.09, 2)</f>
        <v>7.68</v>
      </c>
    </row>
    <row r="242" customFormat="false" ht="15" hidden="false" customHeight="false" outlineLevel="0" collapsed="false">
      <c r="A242" s="5" t="n">
        <v>239</v>
      </c>
      <c r="B242" s="6" t="s">
        <v>538</v>
      </c>
      <c r="C242" s="6" t="s">
        <v>539</v>
      </c>
      <c r="D242" s="7" t="s">
        <v>544</v>
      </c>
      <c r="E242" s="6" t="s">
        <v>102</v>
      </c>
      <c r="F242" s="5" t="n">
        <v>8</v>
      </c>
      <c r="G242" s="5" t="n">
        <v>6</v>
      </c>
      <c r="H242" s="5" t="n">
        <v>5</v>
      </c>
      <c r="I242" s="5" t="n">
        <v>8</v>
      </c>
      <c r="J242" s="5" t="n">
        <v>7</v>
      </c>
      <c r="K242" s="5" t="n">
        <v>4</v>
      </c>
      <c r="L242" s="8" t="n">
        <v>700</v>
      </c>
      <c r="M242" s="5" t="n">
        <v>7</v>
      </c>
      <c r="N242" s="5" t="n">
        <v>7</v>
      </c>
      <c r="O242" s="6" t="s">
        <v>542</v>
      </c>
      <c r="P242" s="5" t="s">
        <v>487</v>
      </c>
      <c r="Q242" s="5" t="n">
        <v>7.5</v>
      </c>
      <c r="R242" s="5" t="n">
        <v>7.5</v>
      </c>
      <c r="S242" s="5" t="n">
        <v>7</v>
      </c>
      <c r="T242" s="9" t="n">
        <f aca="false">ROUND(F242*0.15 + G242*0.08 + H242*0.08 + I242*0.1 + J242*0.08 + M242*0.1 + N242*0.05 + Q242*0.15 + R242*0.12 + S242*0.09, 2)</f>
        <v>7.15</v>
      </c>
    </row>
    <row r="243" customFormat="false" ht="15" hidden="false" customHeight="false" outlineLevel="0" collapsed="false">
      <c r="A243" s="10" t="n">
        <v>240</v>
      </c>
      <c r="B243" s="11" t="s">
        <v>538</v>
      </c>
      <c r="C243" s="11" t="s">
        <v>545</v>
      </c>
      <c r="D243" s="12" t="s">
        <v>546</v>
      </c>
      <c r="E243" s="11" t="s">
        <v>547</v>
      </c>
      <c r="F243" s="10" t="n">
        <v>8.5</v>
      </c>
      <c r="G243" s="10" t="n">
        <v>7</v>
      </c>
      <c r="H243" s="10" t="n">
        <v>4</v>
      </c>
      <c r="I243" s="10" t="n">
        <v>8</v>
      </c>
      <c r="J243" s="10" t="n">
        <v>7</v>
      </c>
      <c r="K243" s="10" t="n">
        <v>4</v>
      </c>
      <c r="L243" s="13" t="n">
        <v>700</v>
      </c>
      <c r="M243" s="10" t="n">
        <v>6</v>
      </c>
      <c r="N243" s="10" t="n">
        <v>7</v>
      </c>
      <c r="O243" s="11" t="s">
        <v>542</v>
      </c>
      <c r="P243" s="10" t="s">
        <v>487</v>
      </c>
      <c r="Q243" s="10" t="n">
        <v>8</v>
      </c>
      <c r="R243" s="10" t="n">
        <v>8</v>
      </c>
      <c r="S243" s="10" t="n">
        <v>7</v>
      </c>
      <c r="T243" s="14" t="n">
        <f aca="false">ROUND(F243*0.15 + G243*0.08 + H243*0.08 + I243*0.1 + J243*0.08 + M243*0.1 + N243*0.05 + Q243*0.15 + R243*0.12 + S243*0.09, 2)</f>
        <v>7.26</v>
      </c>
    </row>
    <row r="244" customFormat="false" ht="15" hidden="false" customHeight="false" outlineLevel="0" collapsed="false">
      <c r="A244" s="5" t="n">
        <v>241</v>
      </c>
      <c r="B244" s="6" t="s">
        <v>538</v>
      </c>
      <c r="C244" s="6" t="s">
        <v>545</v>
      </c>
      <c r="D244" s="7" t="s">
        <v>548</v>
      </c>
      <c r="E244" s="6" t="s">
        <v>452</v>
      </c>
      <c r="F244" s="5" t="n">
        <v>8.2</v>
      </c>
      <c r="G244" s="5" t="n">
        <v>7</v>
      </c>
      <c r="H244" s="5" t="n">
        <v>5</v>
      </c>
      <c r="I244" s="5" t="n">
        <v>7</v>
      </c>
      <c r="J244" s="5" t="n">
        <v>6</v>
      </c>
      <c r="K244" s="5" t="n">
        <v>4</v>
      </c>
      <c r="L244" s="8" t="n">
        <v>600</v>
      </c>
      <c r="M244" s="5" t="n">
        <v>6</v>
      </c>
      <c r="N244" s="5" t="n">
        <v>7</v>
      </c>
      <c r="O244" s="6" t="s">
        <v>542</v>
      </c>
      <c r="P244" s="5" t="s">
        <v>487</v>
      </c>
      <c r="Q244" s="5" t="n">
        <v>8</v>
      </c>
      <c r="R244" s="5" t="n">
        <v>7.5</v>
      </c>
      <c r="S244" s="5" t="n">
        <v>7</v>
      </c>
      <c r="T244" s="9" t="n">
        <f aca="false">ROUND(F244*0.15 + G244*0.08 + H244*0.08 + I244*0.1 + J244*0.08 + M244*0.1 + N244*0.05 + Q244*0.15 + R244*0.12 + S244*0.09, 2)</f>
        <v>7.05</v>
      </c>
    </row>
    <row r="245" customFormat="false" ht="15" hidden="false" customHeight="false" outlineLevel="0" collapsed="false">
      <c r="A245" s="10" t="n">
        <v>242</v>
      </c>
      <c r="B245" s="11" t="s">
        <v>538</v>
      </c>
      <c r="C245" s="11" t="s">
        <v>549</v>
      </c>
      <c r="D245" s="12" t="s">
        <v>550</v>
      </c>
      <c r="E245" s="11" t="s">
        <v>541</v>
      </c>
      <c r="F245" s="10" t="n">
        <v>8.5</v>
      </c>
      <c r="G245" s="10" t="n">
        <v>7</v>
      </c>
      <c r="H245" s="10" t="n">
        <v>4</v>
      </c>
      <c r="I245" s="10" t="n">
        <v>9</v>
      </c>
      <c r="J245" s="10" t="n">
        <v>6</v>
      </c>
      <c r="K245" s="10" t="n">
        <v>5</v>
      </c>
      <c r="L245" s="13" t="n">
        <v>800</v>
      </c>
      <c r="M245" s="10" t="n">
        <v>7</v>
      </c>
      <c r="N245" s="10" t="n">
        <v>6</v>
      </c>
      <c r="O245" s="11" t="s">
        <v>542</v>
      </c>
      <c r="P245" s="10" t="s">
        <v>487</v>
      </c>
      <c r="Q245" s="10" t="n">
        <v>8</v>
      </c>
      <c r="R245" s="10" t="n">
        <v>8</v>
      </c>
      <c r="S245" s="10" t="n">
        <v>7</v>
      </c>
      <c r="T245" s="14" t="n">
        <f aca="false">ROUND(F245*0.15 + G245*0.08 + H245*0.08 + I245*0.1 + J245*0.08 + M245*0.1 + N245*0.05 + Q245*0.15 + R245*0.12 + S245*0.09, 2)</f>
        <v>7.33</v>
      </c>
    </row>
    <row r="246" customFormat="false" ht="15" hidden="false" customHeight="false" outlineLevel="0" collapsed="false">
      <c r="A246" s="5" t="n">
        <v>243</v>
      </c>
      <c r="B246" s="6" t="s">
        <v>538</v>
      </c>
      <c r="C246" s="6" t="s">
        <v>551</v>
      </c>
      <c r="D246" s="7" t="s">
        <v>552</v>
      </c>
      <c r="E246" s="6" t="s">
        <v>116</v>
      </c>
      <c r="F246" s="5" t="n">
        <v>8</v>
      </c>
      <c r="G246" s="5" t="n">
        <v>6</v>
      </c>
      <c r="H246" s="5" t="n">
        <v>5</v>
      </c>
      <c r="I246" s="5" t="n">
        <v>6</v>
      </c>
      <c r="J246" s="5" t="n">
        <v>7</v>
      </c>
      <c r="K246" s="5" t="n">
        <v>3</v>
      </c>
      <c r="L246" s="8" t="n">
        <v>500</v>
      </c>
      <c r="M246" s="5" t="n">
        <v>8</v>
      </c>
      <c r="N246" s="5" t="n">
        <v>7</v>
      </c>
      <c r="O246" s="6" t="s">
        <v>542</v>
      </c>
      <c r="P246" s="5" t="s">
        <v>487</v>
      </c>
      <c r="Q246" s="5" t="n">
        <v>8</v>
      </c>
      <c r="R246" s="5" t="n">
        <v>7</v>
      </c>
      <c r="S246" s="5" t="n">
        <v>7.5</v>
      </c>
      <c r="T246" s="9" t="n">
        <f aca="false">ROUND(F246*0.15 + G246*0.08 + H246*0.08 + I246*0.1 + J246*0.08 + M246*0.1 + N246*0.05 + Q246*0.15 + R246*0.12 + S246*0.09, 2)</f>
        <v>7.11</v>
      </c>
    </row>
    <row r="247" customFormat="false" ht="15" hidden="false" customHeight="false" outlineLevel="0" collapsed="false">
      <c r="A247" s="10" t="n">
        <v>244</v>
      </c>
      <c r="B247" s="11" t="s">
        <v>553</v>
      </c>
      <c r="C247" s="11" t="s">
        <v>554</v>
      </c>
      <c r="D247" s="12" t="s">
        <v>555</v>
      </c>
      <c r="E247" s="11" t="s">
        <v>25</v>
      </c>
      <c r="F247" s="10" t="n">
        <v>9</v>
      </c>
      <c r="G247" s="10" t="n">
        <v>6</v>
      </c>
      <c r="H247" s="10" t="n">
        <v>5</v>
      </c>
      <c r="I247" s="10" t="n">
        <v>8</v>
      </c>
      <c r="J247" s="10" t="n">
        <v>8</v>
      </c>
      <c r="K247" s="10" t="n">
        <v>4</v>
      </c>
      <c r="L247" s="13" t="n">
        <v>500</v>
      </c>
      <c r="M247" s="10" t="n">
        <v>7</v>
      </c>
      <c r="N247" s="10" t="n">
        <v>7</v>
      </c>
      <c r="O247" s="11" t="s">
        <v>26</v>
      </c>
      <c r="P247" s="10" t="s">
        <v>198</v>
      </c>
      <c r="Q247" s="10" t="n">
        <v>10</v>
      </c>
      <c r="R247" s="10" t="n">
        <v>8</v>
      </c>
      <c r="S247" s="10" t="n">
        <v>8</v>
      </c>
      <c r="T247" s="14" t="n">
        <f aca="false">ROUND(F247*0.15 + G247*0.08 + H247*0.08 + I247*0.1 + J247*0.08 + M247*0.1 + N247*0.05 + Q247*0.15 + R247*0.12 + S247*0.09, 2)</f>
        <v>7.9</v>
      </c>
    </row>
    <row r="248" customFormat="false" ht="15" hidden="false" customHeight="false" outlineLevel="0" collapsed="false">
      <c r="A248" s="5" t="n">
        <v>245</v>
      </c>
      <c r="B248" s="6" t="s">
        <v>553</v>
      </c>
      <c r="C248" s="6" t="s">
        <v>556</v>
      </c>
      <c r="D248" s="7" t="s">
        <v>557</v>
      </c>
      <c r="E248" s="6" t="s">
        <v>116</v>
      </c>
      <c r="F248" s="5" t="n">
        <v>9</v>
      </c>
      <c r="G248" s="5" t="n">
        <v>6</v>
      </c>
      <c r="H248" s="5" t="n">
        <v>4</v>
      </c>
      <c r="I248" s="5" t="n">
        <v>8</v>
      </c>
      <c r="J248" s="5" t="n">
        <v>8</v>
      </c>
      <c r="K248" s="5" t="n">
        <v>6</v>
      </c>
      <c r="L248" s="8" t="n">
        <v>600</v>
      </c>
      <c r="M248" s="5" t="n">
        <v>6</v>
      </c>
      <c r="N248" s="5" t="n">
        <v>6</v>
      </c>
      <c r="O248" s="6" t="s">
        <v>26</v>
      </c>
      <c r="P248" s="5" t="s">
        <v>287</v>
      </c>
      <c r="Q248" s="5" t="n">
        <v>9.5</v>
      </c>
      <c r="R248" s="5" t="n">
        <v>7.5</v>
      </c>
      <c r="S248" s="5" t="n">
        <v>7.5</v>
      </c>
      <c r="T248" s="9" t="n">
        <f aca="false">ROUND(F248*0.15 + G248*0.08 + H248*0.08 + I248*0.1 + J248*0.08 + M248*0.1 + N248*0.05 + Q248*0.15 + R248*0.12 + S248*0.09, 2)</f>
        <v>7.49</v>
      </c>
    </row>
    <row r="249" customFormat="false" ht="15" hidden="false" customHeight="false" outlineLevel="0" collapsed="false">
      <c r="A249" s="10" t="n">
        <v>246</v>
      </c>
      <c r="B249" s="11" t="s">
        <v>553</v>
      </c>
      <c r="C249" s="11" t="s">
        <v>558</v>
      </c>
      <c r="D249" s="12" t="s">
        <v>559</v>
      </c>
      <c r="E249" s="11" t="s">
        <v>560</v>
      </c>
      <c r="F249" s="10" t="n">
        <v>8.3</v>
      </c>
      <c r="G249" s="10" t="n">
        <v>7</v>
      </c>
      <c r="H249" s="10" t="n">
        <v>7</v>
      </c>
      <c r="I249" s="10" t="n">
        <v>9</v>
      </c>
      <c r="J249" s="10" t="n">
        <v>7</v>
      </c>
      <c r="K249" s="10" t="n">
        <v>2</v>
      </c>
      <c r="L249" s="13" t="n">
        <v>600</v>
      </c>
      <c r="M249" s="10" t="n">
        <v>10</v>
      </c>
      <c r="N249" s="10" t="n">
        <v>9</v>
      </c>
      <c r="O249" s="11" t="s">
        <v>36</v>
      </c>
      <c r="P249" s="11" t="s">
        <v>195</v>
      </c>
      <c r="Q249" s="10" t="n">
        <v>7.5</v>
      </c>
      <c r="R249" s="10" t="n">
        <v>8.5</v>
      </c>
      <c r="S249" s="10" t="n">
        <v>7.5</v>
      </c>
      <c r="T249" s="14" t="n">
        <f aca="false">ROUND(F249*0.15 + G249*0.08 + H249*0.08 + I249*0.1 + J249*0.08 + M249*0.1 + N249*0.05 + Q249*0.15 + R249*0.12 + S249*0.09, 2)</f>
        <v>8.1</v>
      </c>
    </row>
    <row r="250" customFormat="false" ht="15" hidden="false" customHeight="false" outlineLevel="0" collapsed="false">
      <c r="A250" s="5" t="n">
        <v>247</v>
      </c>
      <c r="B250" s="6" t="s">
        <v>553</v>
      </c>
      <c r="C250" s="6" t="s">
        <v>561</v>
      </c>
      <c r="D250" s="7" t="s">
        <v>562</v>
      </c>
      <c r="E250" s="6" t="s">
        <v>108</v>
      </c>
      <c r="F250" s="5" t="n">
        <v>8.5</v>
      </c>
      <c r="G250" s="5" t="n">
        <v>5</v>
      </c>
      <c r="H250" s="5" t="n">
        <v>5</v>
      </c>
      <c r="I250" s="5" t="n">
        <v>8</v>
      </c>
      <c r="J250" s="5" t="n">
        <v>7</v>
      </c>
      <c r="K250" s="5" t="n">
        <v>5</v>
      </c>
      <c r="L250" s="8" t="n">
        <v>500</v>
      </c>
      <c r="M250" s="5" t="n">
        <v>5</v>
      </c>
      <c r="N250" s="5" t="n">
        <v>6</v>
      </c>
      <c r="O250" s="6" t="s">
        <v>26</v>
      </c>
      <c r="P250" s="5" t="s">
        <v>27</v>
      </c>
      <c r="Q250" s="5" t="n">
        <v>8.5</v>
      </c>
      <c r="R250" s="5" t="n">
        <v>7</v>
      </c>
      <c r="S250" s="5" t="n">
        <v>7.5</v>
      </c>
      <c r="T250" s="9" t="n">
        <f aca="false">ROUND(F250*0.15 + G250*0.08 + H250*0.08 + I250*0.1 + J250*0.08 + M250*0.1 + N250*0.05 + Q250*0.15 + R250*0.12 + S250*0.09, 2)</f>
        <v>7.03</v>
      </c>
    </row>
    <row r="251" customFormat="false" ht="15" hidden="false" customHeight="false" outlineLevel="0" collapsed="false">
      <c r="A251" s="10" t="n">
        <v>248</v>
      </c>
      <c r="B251" s="11" t="s">
        <v>553</v>
      </c>
      <c r="C251" s="11" t="s">
        <v>563</v>
      </c>
      <c r="D251" s="12" t="s">
        <v>564</v>
      </c>
      <c r="E251" s="11" t="s">
        <v>102</v>
      </c>
      <c r="F251" s="10" t="n">
        <v>8</v>
      </c>
      <c r="G251" s="10" t="n">
        <v>6</v>
      </c>
      <c r="H251" s="10" t="n">
        <v>5</v>
      </c>
      <c r="I251" s="10" t="n">
        <v>8</v>
      </c>
      <c r="J251" s="10" t="n">
        <v>7</v>
      </c>
      <c r="K251" s="10" t="n">
        <v>4</v>
      </c>
      <c r="L251" s="13" t="n">
        <v>400</v>
      </c>
      <c r="M251" s="10" t="n">
        <v>5</v>
      </c>
      <c r="N251" s="10" t="n">
        <v>6</v>
      </c>
      <c r="O251" s="11" t="s">
        <v>219</v>
      </c>
      <c r="P251" s="10" t="s">
        <v>220</v>
      </c>
      <c r="Q251" s="10" t="n">
        <v>7.5</v>
      </c>
      <c r="R251" s="10" t="n">
        <v>7</v>
      </c>
      <c r="S251" s="10" t="n">
        <v>7.5</v>
      </c>
      <c r="T251" s="14" t="n">
        <f aca="false">ROUND(F251*0.15 + G251*0.08 + H251*0.08 + I251*0.1 + J251*0.08 + M251*0.1 + N251*0.05 + Q251*0.15 + R251*0.12 + S251*0.09, 2)</f>
        <v>6.88</v>
      </c>
    </row>
    <row r="252" customFormat="false" ht="15" hidden="false" customHeight="false" outlineLevel="0" collapsed="false">
      <c r="A252" s="5" t="n">
        <v>249</v>
      </c>
      <c r="B252" s="6" t="s">
        <v>553</v>
      </c>
      <c r="C252" s="6" t="s">
        <v>565</v>
      </c>
      <c r="D252" s="7" t="s">
        <v>566</v>
      </c>
      <c r="E252" s="6" t="s">
        <v>567</v>
      </c>
      <c r="F252" s="5" t="n">
        <v>8</v>
      </c>
      <c r="G252" s="5" t="n">
        <v>6</v>
      </c>
      <c r="H252" s="5" t="n">
        <v>5</v>
      </c>
      <c r="I252" s="5" t="n">
        <v>7</v>
      </c>
      <c r="J252" s="5" t="n">
        <v>7</v>
      </c>
      <c r="K252" s="5" t="n">
        <v>4</v>
      </c>
      <c r="L252" s="8" t="n">
        <v>400</v>
      </c>
      <c r="M252" s="5" t="n">
        <v>5</v>
      </c>
      <c r="N252" s="5" t="n">
        <v>7</v>
      </c>
      <c r="O252" s="6" t="s">
        <v>26</v>
      </c>
      <c r="P252" s="5" t="s">
        <v>287</v>
      </c>
      <c r="Q252" s="5" t="n">
        <v>7.5</v>
      </c>
      <c r="R252" s="5" t="n">
        <v>7</v>
      </c>
      <c r="S252" s="5" t="n">
        <v>8</v>
      </c>
      <c r="T252" s="9" t="n">
        <f aca="false">ROUND(F252*0.15 + G252*0.08 + H252*0.08 + I252*0.1 + J252*0.08 + M252*0.1 + N252*0.05 + Q252*0.15 + R252*0.12 + S252*0.09, 2)</f>
        <v>6.88</v>
      </c>
    </row>
    <row r="253" customFormat="false" ht="15" hidden="false" customHeight="false" outlineLevel="0" collapsed="false">
      <c r="A253" s="10" t="n">
        <v>250</v>
      </c>
      <c r="B253" s="11" t="s">
        <v>553</v>
      </c>
      <c r="C253" s="11" t="s">
        <v>568</v>
      </c>
      <c r="D253" s="12" t="s">
        <v>569</v>
      </c>
      <c r="E253" s="11" t="s">
        <v>108</v>
      </c>
      <c r="F253" s="10" t="n">
        <v>8.3</v>
      </c>
      <c r="G253" s="10" t="n">
        <v>5</v>
      </c>
      <c r="H253" s="10" t="n">
        <v>3</v>
      </c>
      <c r="I253" s="10" t="n">
        <v>7</v>
      </c>
      <c r="J253" s="10" t="n">
        <v>7</v>
      </c>
      <c r="K253" s="10" t="n">
        <v>5</v>
      </c>
      <c r="L253" s="13" t="n">
        <v>400</v>
      </c>
      <c r="M253" s="10" t="n">
        <v>6</v>
      </c>
      <c r="N253" s="10" t="n">
        <v>6</v>
      </c>
      <c r="O253" s="11" t="s">
        <v>61</v>
      </c>
      <c r="P253" s="10" t="s">
        <v>45</v>
      </c>
      <c r="Q253" s="10" t="n">
        <v>8</v>
      </c>
      <c r="R253" s="10" t="n">
        <v>7</v>
      </c>
      <c r="S253" s="10" t="n">
        <v>7.5</v>
      </c>
      <c r="T253" s="14" t="n">
        <f aca="false">ROUND(F253*0.15 + G253*0.08 + H253*0.08 + I253*0.1 + J253*0.08 + M253*0.1 + N253*0.05 + Q253*0.15 + R253*0.12 + S253*0.09, 2)</f>
        <v>6.76</v>
      </c>
    </row>
    <row r="254" customFormat="false" ht="15" hidden="false" customHeight="false" outlineLevel="0" collapsed="false">
      <c r="A254" s="5" t="n">
        <v>251</v>
      </c>
      <c r="B254" s="6" t="s">
        <v>553</v>
      </c>
      <c r="C254" s="6" t="s">
        <v>570</v>
      </c>
      <c r="D254" s="7" t="s">
        <v>571</v>
      </c>
      <c r="E254" s="6" t="s">
        <v>25</v>
      </c>
      <c r="F254" s="5" t="n">
        <v>8</v>
      </c>
      <c r="G254" s="5" t="n">
        <v>7</v>
      </c>
      <c r="H254" s="5" t="n">
        <v>7</v>
      </c>
      <c r="I254" s="5" t="n">
        <v>7</v>
      </c>
      <c r="J254" s="5" t="n">
        <v>8</v>
      </c>
      <c r="K254" s="5" t="n">
        <v>3</v>
      </c>
      <c r="L254" s="8" t="n">
        <v>500</v>
      </c>
      <c r="M254" s="5" t="n">
        <v>10</v>
      </c>
      <c r="N254" s="5" t="n">
        <v>9</v>
      </c>
      <c r="O254" s="6" t="s">
        <v>36</v>
      </c>
      <c r="P254" s="6" t="s">
        <v>195</v>
      </c>
      <c r="Q254" s="5" t="n">
        <v>7.5</v>
      </c>
      <c r="R254" s="5" t="n">
        <v>8</v>
      </c>
      <c r="S254" s="5" t="n">
        <v>8</v>
      </c>
      <c r="T254" s="9" t="n">
        <f aca="false">ROUND(F254*0.15 + G254*0.08 + H254*0.08 + I254*0.1 + J254*0.08 + M254*0.1 + N254*0.05 + Q254*0.15 + R254*0.12 + S254*0.09, 2)</f>
        <v>7.92</v>
      </c>
    </row>
    <row r="255" customFormat="false" ht="15" hidden="false" customHeight="false" outlineLevel="0" collapsed="false">
      <c r="A255" s="10" t="n">
        <v>252</v>
      </c>
      <c r="B255" s="11" t="s">
        <v>553</v>
      </c>
      <c r="C255" s="11" t="s">
        <v>572</v>
      </c>
      <c r="D255" s="12" t="s">
        <v>573</v>
      </c>
      <c r="E255" s="11" t="s">
        <v>71</v>
      </c>
      <c r="F255" s="10" t="n">
        <v>8</v>
      </c>
      <c r="G255" s="10" t="n">
        <v>5</v>
      </c>
      <c r="H255" s="10" t="n">
        <v>4</v>
      </c>
      <c r="I255" s="10" t="n">
        <v>7</v>
      </c>
      <c r="J255" s="10" t="n">
        <v>7</v>
      </c>
      <c r="K255" s="10" t="n">
        <v>5</v>
      </c>
      <c r="L255" s="13" t="n">
        <v>400</v>
      </c>
      <c r="M255" s="10" t="n">
        <v>6</v>
      </c>
      <c r="N255" s="10" t="n">
        <v>6</v>
      </c>
      <c r="O255" s="11" t="s">
        <v>61</v>
      </c>
      <c r="P255" s="10" t="s">
        <v>45</v>
      </c>
      <c r="Q255" s="10" t="n">
        <v>7.5</v>
      </c>
      <c r="R255" s="10" t="n">
        <v>7</v>
      </c>
      <c r="S255" s="10" t="n">
        <v>7.5</v>
      </c>
      <c r="T255" s="14" t="n">
        <f aca="false">ROUND(F255*0.15 + G255*0.08 + H255*0.08 + I255*0.1 + J255*0.08 + M255*0.1 + N255*0.05 + Q255*0.15 + R255*0.12 + S255*0.09, 2)</f>
        <v>6.72</v>
      </c>
    </row>
    <row r="256" customFormat="false" ht="15" hidden="false" customHeight="false" outlineLevel="0" collapsed="false">
      <c r="A256" s="5" t="n">
        <v>253</v>
      </c>
      <c r="B256" s="6" t="s">
        <v>553</v>
      </c>
      <c r="C256" s="6" t="s">
        <v>574</v>
      </c>
      <c r="D256" s="7" t="s">
        <v>575</v>
      </c>
      <c r="E256" s="6" t="s">
        <v>116</v>
      </c>
      <c r="F256" s="5" t="n">
        <v>8.3</v>
      </c>
      <c r="G256" s="5" t="n">
        <v>5</v>
      </c>
      <c r="H256" s="5" t="n">
        <v>3</v>
      </c>
      <c r="I256" s="5" t="n">
        <v>7</v>
      </c>
      <c r="J256" s="5" t="n">
        <v>7</v>
      </c>
      <c r="K256" s="5" t="n">
        <v>5</v>
      </c>
      <c r="L256" s="8" t="n">
        <v>450</v>
      </c>
      <c r="M256" s="5" t="n">
        <v>5</v>
      </c>
      <c r="N256" s="5" t="n">
        <v>5</v>
      </c>
      <c r="O256" s="6" t="s">
        <v>26</v>
      </c>
      <c r="P256" s="5" t="s">
        <v>27</v>
      </c>
      <c r="Q256" s="5" t="n">
        <v>8</v>
      </c>
      <c r="R256" s="5" t="n">
        <v>7</v>
      </c>
      <c r="S256" s="5" t="n">
        <v>7.5</v>
      </c>
      <c r="T256" s="9" t="n">
        <f aca="false">ROUND(F256*0.15 + G256*0.08 + H256*0.08 + I256*0.1 + J256*0.08 + M256*0.1 + N256*0.05 + Q256*0.15 + R256*0.12 + S256*0.09, 2)</f>
        <v>6.61</v>
      </c>
    </row>
    <row r="257" customFormat="false" ht="15" hidden="false" customHeight="false" outlineLevel="0" collapsed="false">
      <c r="A257" s="10" t="n">
        <v>254</v>
      </c>
      <c r="B257" s="11" t="s">
        <v>553</v>
      </c>
      <c r="C257" s="11" t="s">
        <v>576</v>
      </c>
      <c r="D257" s="12" t="s">
        <v>577</v>
      </c>
      <c r="E257" s="11" t="s">
        <v>578</v>
      </c>
      <c r="F257" s="10" t="n">
        <v>8.5</v>
      </c>
      <c r="G257" s="10" t="n">
        <v>6</v>
      </c>
      <c r="H257" s="10" t="n">
        <v>5</v>
      </c>
      <c r="I257" s="10" t="n">
        <v>8</v>
      </c>
      <c r="J257" s="10" t="n">
        <v>8</v>
      </c>
      <c r="K257" s="10" t="n">
        <v>4</v>
      </c>
      <c r="L257" s="13" t="n">
        <v>450</v>
      </c>
      <c r="M257" s="10" t="n">
        <v>6</v>
      </c>
      <c r="N257" s="10" t="n">
        <v>7</v>
      </c>
      <c r="O257" s="11" t="s">
        <v>26</v>
      </c>
      <c r="P257" s="10" t="s">
        <v>198</v>
      </c>
      <c r="Q257" s="10" t="n">
        <v>9</v>
      </c>
      <c r="R257" s="10" t="n">
        <v>7.5</v>
      </c>
      <c r="S257" s="10" t="n">
        <v>8</v>
      </c>
      <c r="T257" s="14" t="n">
        <f aca="false">ROUND(F257*0.15 + G257*0.08 + H257*0.08 + I257*0.1 + J257*0.08 + M257*0.1 + N257*0.05 + Q257*0.15 + R257*0.12 + S257*0.09, 2)</f>
        <v>7.52</v>
      </c>
    </row>
    <row r="258" customFormat="false" ht="15" hidden="false" customHeight="false" outlineLevel="0" collapsed="false">
      <c r="A258" s="5" t="n">
        <v>255</v>
      </c>
      <c r="B258" s="6" t="s">
        <v>553</v>
      </c>
      <c r="C258" s="6" t="s">
        <v>579</v>
      </c>
      <c r="D258" s="7" t="s">
        <v>580</v>
      </c>
      <c r="E258" s="6" t="s">
        <v>57</v>
      </c>
      <c r="F258" s="5" t="n">
        <v>8.3</v>
      </c>
      <c r="G258" s="5" t="n">
        <v>5</v>
      </c>
      <c r="H258" s="5" t="n">
        <v>4</v>
      </c>
      <c r="I258" s="5" t="n">
        <v>7</v>
      </c>
      <c r="J258" s="5" t="n">
        <v>7</v>
      </c>
      <c r="K258" s="5" t="n">
        <v>5</v>
      </c>
      <c r="L258" s="8" t="n">
        <v>500</v>
      </c>
      <c r="M258" s="5" t="n">
        <v>6</v>
      </c>
      <c r="N258" s="5" t="n">
        <v>5</v>
      </c>
      <c r="O258" s="6" t="s">
        <v>156</v>
      </c>
      <c r="P258" s="5" t="s">
        <v>176</v>
      </c>
      <c r="Q258" s="5" t="n">
        <v>8</v>
      </c>
      <c r="R258" s="5" t="n">
        <v>7</v>
      </c>
      <c r="S258" s="5" t="n">
        <v>7</v>
      </c>
      <c r="T258" s="9" t="n">
        <f aca="false">ROUND(F258*0.15 + G258*0.08 + H258*0.08 + I258*0.1 + J258*0.08 + M258*0.1 + N258*0.05 + Q258*0.15 + R258*0.12 + S258*0.09, 2)</f>
        <v>6.75</v>
      </c>
    </row>
    <row r="259" customFormat="false" ht="15" hidden="false" customHeight="false" outlineLevel="0" collapsed="false">
      <c r="A259" s="10" t="n">
        <v>256</v>
      </c>
      <c r="B259" s="11" t="s">
        <v>581</v>
      </c>
      <c r="C259" s="11" t="s">
        <v>582</v>
      </c>
      <c r="D259" s="12" t="s">
        <v>583</v>
      </c>
      <c r="E259" s="11" t="s">
        <v>184</v>
      </c>
      <c r="F259" s="10" t="n">
        <v>9.5</v>
      </c>
      <c r="G259" s="10" t="n">
        <v>6</v>
      </c>
      <c r="H259" s="10" t="n">
        <v>4</v>
      </c>
      <c r="I259" s="10" t="n">
        <v>9</v>
      </c>
      <c r="J259" s="10" t="n">
        <v>8</v>
      </c>
      <c r="K259" s="10" t="n">
        <v>8</v>
      </c>
      <c r="L259" s="13" t="n">
        <v>900</v>
      </c>
      <c r="M259" s="10" t="n">
        <v>6</v>
      </c>
      <c r="N259" s="10" t="n">
        <v>4</v>
      </c>
      <c r="O259" s="11" t="s">
        <v>122</v>
      </c>
      <c r="P259" s="10" t="s">
        <v>123</v>
      </c>
      <c r="Q259" s="10" t="n">
        <v>10</v>
      </c>
      <c r="R259" s="10" t="n">
        <v>8</v>
      </c>
      <c r="S259" s="10" t="n">
        <v>7</v>
      </c>
      <c r="T259" s="14" t="n">
        <f aca="false">ROUND(F259*0.15 + G259*0.08 + H259*0.08 + I259*0.1 + J259*0.08 + M259*0.1 + N259*0.05 + Q259*0.15 + R259*0.12 + S259*0.09, 2)</f>
        <v>7.66</v>
      </c>
    </row>
    <row r="260" customFormat="false" ht="15" hidden="false" customHeight="false" outlineLevel="0" collapsed="false">
      <c r="A260" s="5" t="n">
        <v>257</v>
      </c>
      <c r="B260" s="6" t="s">
        <v>581</v>
      </c>
      <c r="C260" s="6" t="s">
        <v>584</v>
      </c>
      <c r="D260" s="7" t="s">
        <v>585</v>
      </c>
      <c r="E260" s="6" t="s">
        <v>423</v>
      </c>
      <c r="F260" s="5" t="n">
        <v>9.2</v>
      </c>
      <c r="G260" s="5" t="n">
        <v>5</v>
      </c>
      <c r="H260" s="5" t="n">
        <v>3</v>
      </c>
      <c r="I260" s="5" t="n">
        <v>8</v>
      </c>
      <c r="J260" s="5" t="n">
        <v>8</v>
      </c>
      <c r="K260" s="5" t="n">
        <v>8</v>
      </c>
      <c r="L260" s="8" t="n">
        <v>700</v>
      </c>
      <c r="M260" s="5" t="n">
        <v>7</v>
      </c>
      <c r="N260" s="5" t="n">
        <v>5</v>
      </c>
      <c r="O260" s="6" t="s">
        <v>26</v>
      </c>
      <c r="P260" s="5" t="s">
        <v>27</v>
      </c>
      <c r="Q260" s="5" t="n">
        <v>9.5</v>
      </c>
      <c r="R260" s="5" t="n">
        <v>8</v>
      </c>
      <c r="S260" s="5" t="n">
        <v>7.5</v>
      </c>
      <c r="T260" s="9" t="n">
        <f aca="false">ROUND(F260*0.15 + G260*0.08 + H260*0.08 + I260*0.1 + J260*0.08 + M260*0.1 + N260*0.05 + Q260*0.15 + R260*0.12 + S260*0.09, 2)</f>
        <v>7.47</v>
      </c>
    </row>
    <row r="261" customFormat="false" ht="15" hidden="false" customHeight="false" outlineLevel="0" collapsed="false">
      <c r="A261" s="10" t="n">
        <v>258</v>
      </c>
      <c r="B261" s="11" t="s">
        <v>581</v>
      </c>
      <c r="C261" s="11" t="s">
        <v>584</v>
      </c>
      <c r="D261" s="12" t="s">
        <v>586</v>
      </c>
      <c r="E261" s="11" t="s">
        <v>25</v>
      </c>
      <c r="F261" s="10" t="n">
        <v>9</v>
      </c>
      <c r="G261" s="10" t="n">
        <v>7</v>
      </c>
      <c r="H261" s="10" t="n">
        <v>6</v>
      </c>
      <c r="I261" s="10" t="n">
        <v>8</v>
      </c>
      <c r="J261" s="10" t="n">
        <v>8</v>
      </c>
      <c r="K261" s="10" t="n">
        <v>3</v>
      </c>
      <c r="L261" s="13" t="n">
        <v>500</v>
      </c>
      <c r="M261" s="10" t="n">
        <v>8</v>
      </c>
      <c r="N261" s="10" t="n">
        <v>7</v>
      </c>
      <c r="O261" s="11" t="s">
        <v>26</v>
      </c>
      <c r="P261" s="10" t="s">
        <v>198</v>
      </c>
      <c r="Q261" s="10" t="n">
        <v>9.5</v>
      </c>
      <c r="R261" s="10" t="n">
        <v>8</v>
      </c>
      <c r="S261" s="10" t="n">
        <v>8</v>
      </c>
      <c r="T261" s="14" t="n">
        <f aca="false">ROUND(F261*0.15 + G261*0.08 + H261*0.08 + I261*0.1 + J261*0.08 + M261*0.1 + N261*0.05 + Q261*0.15 + R261*0.12 + S261*0.09, 2)</f>
        <v>8.09</v>
      </c>
    </row>
    <row r="262" customFormat="false" ht="15" hidden="false" customHeight="false" outlineLevel="0" collapsed="false">
      <c r="A262" s="5" t="n">
        <v>259</v>
      </c>
      <c r="B262" s="6" t="s">
        <v>581</v>
      </c>
      <c r="C262" s="6" t="s">
        <v>582</v>
      </c>
      <c r="D262" s="7" t="s">
        <v>587</v>
      </c>
      <c r="E262" s="6" t="s">
        <v>116</v>
      </c>
      <c r="F262" s="5" t="n">
        <v>9</v>
      </c>
      <c r="G262" s="5" t="n">
        <v>4</v>
      </c>
      <c r="H262" s="5" t="n">
        <v>3</v>
      </c>
      <c r="I262" s="5" t="n">
        <v>8</v>
      </c>
      <c r="J262" s="5" t="n">
        <v>7</v>
      </c>
      <c r="K262" s="5" t="n">
        <v>5</v>
      </c>
      <c r="L262" s="8" t="n">
        <v>800</v>
      </c>
      <c r="M262" s="5" t="n">
        <v>5</v>
      </c>
      <c r="N262" s="5" t="n">
        <v>3</v>
      </c>
      <c r="O262" s="6" t="s">
        <v>61</v>
      </c>
      <c r="P262" s="5" t="s">
        <v>588</v>
      </c>
      <c r="Q262" s="5" t="n">
        <v>9.5</v>
      </c>
      <c r="R262" s="5" t="n">
        <v>7</v>
      </c>
      <c r="S262" s="5" t="n">
        <v>7</v>
      </c>
      <c r="T262" s="9" t="n">
        <f aca="false">ROUND(F262*0.15 + G262*0.08 + H262*0.08 + I262*0.1 + J262*0.08 + M262*0.1 + N262*0.05 + Q262*0.15 + R262*0.12 + S262*0.09, 2)</f>
        <v>6.82</v>
      </c>
    </row>
    <row r="263" customFormat="false" ht="15" hidden="false" customHeight="false" outlineLevel="0" collapsed="false">
      <c r="A263" s="10" t="n">
        <v>260</v>
      </c>
      <c r="B263" s="11" t="s">
        <v>581</v>
      </c>
      <c r="C263" s="11" t="s">
        <v>589</v>
      </c>
      <c r="D263" s="12" t="s">
        <v>590</v>
      </c>
      <c r="E263" s="11" t="s">
        <v>591</v>
      </c>
      <c r="F263" s="10" t="n">
        <v>9.2</v>
      </c>
      <c r="G263" s="10" t="n">
        <v>7</v>
      </c>
      <c r="H263" s="10" t="n">
        <v>5</v>
      </c>
      <c r="I263" s="10" t="n">
        <v>9</v>
      </c>
      <c r="J263" s="10" t="n">
        <v>8</v>
      </c>
      <c r="K263" s="10" t="n">
        <v>6</v>
      </c>
      <c r="L263" s="13" t="n">
        <v>600</v>
      </c>
      <c r="M263" s="10" t="n">
        <v>8</v>
      </c>
      <c r="N263" s="10" t="n">
        <v>7</v>
      </c>
      <c r="O263" s="11" t="s">
        <v>26</v>
      </c>
      <c r="P263" s="10" t="s">
        <v>198</v>
      </c>
      <c r="Q263" s="10" t="n">
        <v>9.5</v>
      </c>
      <c r="R263" s="10" t="n">
        <v>8.5</v>
      </c>
      <c r="S263" s="10" t="n">
        <v>8</v>
      </c>
      <c r="T263" s="14" t="n">
        <f aca="false">ROUND(F263*0.15 + G263*0.08 + H263*0.08 + I263*0.1 + J263*0.08 + M263*0.1 + N263*0.05 + Q263*0.15 + R263*0.12 + S263*0.09, 2)</f>
        <v>8.2</v>
      </c>
    </row>
    <row r="264" customFormat="false" ht="15" hidden="false" customHeight="false" outlineLevel="0" collapsed="false">
      <c r="A264" s="5" t="n">
        <v>261</v>
      </c>
      <c r="B264" s="6" t="s">
        <v>581</v>
      </c>
      <c r="C264" s="6" t="s">
        <v>592</v>
      </c>
      <c r="D264" s="7" t="s">
        <v>593</v>
      </c>
      <c r="E264" s="6" t="s">
        <v>74</v>
      </c>
      <c r="F264" s="5" t="n">
        <v>8.5</v>
      </c>
      <c r="G264" s="5" t="n">
        <v>5</v>
      </c>
      <c r="H264" s="5" t="n">
        <v>7</v>
      </c>
      <c r="I264" s="5" t="n">
        <v>6</v>
      </c>
      <c r="J264" s="5" t="n">
        <v>8</v>
      </c>
      <c r="K264" s="5" t="n">
        <v>3</v>
      </c>
      <c r="L264" s="8" t="n">
        <v>350</v>
      </c>
      <c r="M264" s="5" t="n">
        <v>7</v>
      </c>
      <c r="N264" s="5" t="n">
        <v>8</v>
      </c>
      <c r="O264" s="6" t="s">
        <v>36</v>
      </c>
      <c r="P264" s="5" t="s">
        <v>37</v>
      </c>
      <c r="Q264" s="5" t="n">
        <v>9</v>
      </c>
      <c r="R264" s="5" t="n">
        <v>7.5</v>
      </c>
      <c r="S264" s="5" t="n">
        <v>9</v>
      </c>
      <c r="T264" s="9" t="n">
        <f aca="false">ROUND(F264*0.15 + G264*0.08 + H264*0.08 + I264*0.1 + J264*0.08 + M264*0.1 + N264*0.05 + Q264*0.15 + R264*0.12 + S264*0.09, 2)</f>
        <v>7.64</v>
      </c>
    </row>
    <row r="265" customFormat="false" ht="15" hidden="false" customHeight="false" outlineLevel="0" collapsed="false">
      <c r="A265" s="10" t="n">
        <v>262</v>
      </c>
      <c r="B265" s="11" t="s">
        <v>581</v>
      </c>
      <c r="C265" s="11" t="s">
        <v>594</v>
      </c>
      <c r="D265" s="12" t="s">
        <v>595</v>
      </c>
      <c r="E265" s="11" t="s">
        <v>578</v>
      </c>
      <c r="F265" s="10" t="n">
        <v>8.5</v>
      </c>
      <c r="G265" s="10" t="n">
        <v>5</v>
      </c>
      <c r="H265" s="10" t="n">
        <v>4</v>
      </c>
      <c r="I265" s="10" t="n">
        <v>7</v>
      </c>
      <c r="J265" s="10" t="n">
        <v>8</v>
      </c>
      <c r="K265" s="10" t="n">
        <v>5</v>
      </c>
      <c r="L265" s="13" t="n">
        <v>400</v>
      </c>
      <c r="M265" s="10" t="n">
        <v>6</v>
      </c>
      <c r="N265" s="10" t="n">
        <v>6</v>
      </c>
      <c r="O265" s="11" t="s">
        <v>26</v>
      </c>
      <c r="P265" s="10" t="s">
        <v>27</v>
      </c>
      <c r="Q265" s="10" t="n">
        <v>8.5</v>
      </c>
      <c r="R265" s="10" t="n">
        <v>7</v>
      </c>
      <c r="S265" s="10" t="n">
        <v>7.5</v>
      </c>
      <c r="T265" s="14" t="n">
        <f aca="false">ROUND(F265*0.15 + G265*0.08 + H265*0.08 + I265*0.1 + J265*0.08 + M265*0.1 + N265*0.05 + Q265*0.15 + R265*0.12 + S265*0.09, 2)</f>
        <v>7.03</v>
      </c>
    </row>
    <row r="266" customFormat="false" ht="15" hidden="false" customHeight="false" outlineLevel="0" collapsed="false">
      <c r="A266" s="5" t="n">
        <v>263</v>
      </c>
      <c r="B266" s="6" t="s">
        <v>581</v>
      </c>
      <c r="C266" s="6" t="s">
        <v>596</v>
      </c>
      <c r="D266" s="7" t="s">
        <v>597</v>
      </c>
      <c r="E266" s="6" t="s">
        <v>25</v>
      </c>
      <c r="F266" s="5" t="n">
        <v>8.5</v>
      </c>
      <c r="G266" s="5" t="n">
        <v>7</v>
      </c>
      <c r="H266" s="5" t="n">
        <v>6</v>
      </c>
      <c r="I266" s="5" t="n">
        <v>8</v>
      </c>
      <c r="J266" s="5" t="n">
        <v>8</v>
      </c>
      <c r="K266" s="5" t="n">
        <v>5</v>
      </c>
      <c r="L266" s="8" t="n">
        <v>400</v>
      </c>
      <c r="M266" s="5" t="n">
        <v>7</v>
      </c>
      <c r="N266" s="5" t="n">
        <v>7</v>
      </c>
      <c r="O266" s="6" t="s">
        <v>26</v>
      </c>
      <c r="P266" s="5" t="s">
        <v>198</v>
      </c>
      <c r="Q266" s="5" t="n">
        <v>8.5</v>
      </c>
      <c r="R266" s="5" t="n">
        <v>8</v>
      </c>
      <c r="S266" s="5" t="n">
        <v>8.5</v>
      </c>
      <c r="T266" s="9" t="n">
        <f aca="false">ROUND(F266*0.15 + G266*0.08 + H266*0.08 + I266*0.1 + J266*0.08 + M266*0.1 + N266*0.05 + Q266*0.15 + R266*0.12 + S266*0.09, 2)</f>
        <v>7.81</v>
      </c>
    </row>
    <row r="267" customFormat="false" ht="15" hidden="false" customHeight="false" outlineLevel="0" collapsed="false">
      <c r="A267" s="10" t="n">
        <v>264</v>
      </c>
      <c r="B267" s="11" t="s">
        <v>581</v>
      </c>
      <c r="C267" s="11" t="s">
        <v>598</v>
      </c>
      <c r="D267" s="12" t="s">
        <v>599</v>
      </c>
      <c r="E267" s="11" t="s">
        <v>600</v>
      </c>
      <c r="F267" s="10" t="n">
        <v>8.5</v>
      </c>
      <c r="G267" s="10" t="n">
        <v>4</v>
      </c>
      <c r="H267" s="10" t="n">
        <v>3</v>
      </c>
      <c r="I267" s="10" t="n">
        <v>8</v>
      </c>
      <c r="J267" s="10" t="n">
        <v>7</v>
      </c>
      <c r="K267" s="10" t="n">
        <v>6</v>
      </c>
      <c r="L267" s="13" t="n">
        <v>700</v>
      </c>
      <c r="M267" s="10" t="n">
        <v>5</v>
      </c>
      <c r="N267" s="10" t="n">
        <v>4</v>
      </c>
      <c r="O267" s="11" t="s">
        <v>601</v>
      </c>
      <c r="P267" s="10" t="s">
        <v>602</v>
      </c>
      <c r="Q267" s="10" t="n">
        <v>9</v>
      </c>
      <c r="R267" s="10" t="n">
        <v>7</v>
      </c>
      <c r="S267" s="10" t="n">
        <v>7</v>
      </c>
      <c r="T267" s="14" t="n">
        <f aca="false">ROUND(F267*0.15 + G267*0.08 + H267*0.08 + I267*0.1 + J267*0.08 + M267*0.1 + N267*0.05 + Q267*0.15 + R267*0.12 + S267*0.09, 2)</f>
        <v>6.72</v>
      </c>
    </row>
    <row r="268" customFormat="false" ht="15" hidden="false" customHeight="false" outlineLevel="0" collapsed="false">
      <c r="A268" s="5" t="n">
        <v>265</v>
      </c>
      <c r="B268" s="6" t="s">
        <v>581</v>
      </c>
      <c r="C268" s="6" t="s">
        <v>603</v>
      </c>
      <c r="D268" s="7" t="s">
        <v>604</v>
      </c>
      <c r="E268" s="6" t="s">
        <v>452</v>
      </c>
      <c r="F268" s="5" t="n">
        <v>8</v>
      </c>
      <c r="G268" s="5" t="n">
        <v>6</v>
      </c>
      <c r="H268" s="5" t="n">
        <v>5</v>
      </c>
      <c r="I268" s="5" t="n">
        <v>7</v>
      </c>
      <c r="J268" s="5" t="n">
        <v>7</v>
      </c>
      <c r="K268" s="5" t="n">
        <v>4</v>
      </c>
      <c r="L268" s="8" t="n">
        <v>350</v>
      </c>
      <c r="M268" s="5" t="n">
        <v>6</v>
      </c>
      <c r="N268" s="5" t="n">
        <v>7</v>
      </c>
      <c r="O268" s="6" t="s">
        <v>26</v>
      </c>
      <c r="P268" s="5" t="s">
        <v>27</v>
      </c>
      <c r="Q268" s="5" t="n">
        <v>8</v>
      </c>
      <c r="R268" s="5" t="n">
        <v>7</v>
      </c>
      <c r="S268" s="5" t="n">
        <v>8</v>
      </c>
      <c r="T268" s="9" t="n">
        <f aca="false">ROUND(F268*0.15 + G268*0.08 + H268*0.08 + I268*0.1 + J268*0.08 + M268*0.1 + N268*0.05 + Q268*0.15 + R268*0.12 + S268*0.09, 2)</f>
        <v>7.05</v>
      </c>
    </row>
    <row r="269" customFormat="false" ht="15" hidden="false" customHeight="false" outlineLevel="0" collapsed="false">
      <c r="A269" s="10" t="n">
        <v>266</v>
      </c>
      <c r="B269" s="11" t="s">
        <v>581</v>
      </c>
      <c r="C269" s="11" t="s">
        <v>582</v>
      </c>
      <c r="D269" s="12" t="s">
        <v>605</v>
      </c>
      <c r="E269" s="11" t="s">
        <v>74</v>
      </c>
      <c r="F269" s="10" t="n">
        <v>7.8</v>
      </c>
      <c r="G269" s="10" t="n">
        <v>5</v>
      </c>
      <c r="H269" s="10" t="n">
        <v>5</v>
      </c>
      <c r="I269" s="10" t="n">
        <v>6</v>
      </c>
      <c r="J269" s="10" t="n">
        <v>7</v>
      </c>
      <c r="K269" s="10" t="n">
        <v>3</v>
      </c>
      <c r="L269" s="13" t="n">
        <v>350</v>
      </c>
      <c r="M269" s="10" t="n">
        <v>6</v>
      </c>
      <c r="N269" s="10" t="n">
        <v>7</v>
      </c>
      <c r="O269" s="11" t="s">
        <v>26</v>
      </c>
      <c r="P269" s="10" t="s">
        <v>27</v>
      </c>
      <c r="Q269" s="10" t="n">
        <v>8</v>
      </c>
      <c r="R269" s="10" t="n">
        <v>6.5</v>
      </c>
      <c r="S269" s="10" t="n">
        <v>8</v>
      </c>
      <c r="T269" s="14" t="n">
        <f aca="false">ROUND(F269*0.15 + G269*0.08 + H269*0.08 + I269*0.1 + J269*0.08 + M269*0.1 + N269*0.05 + Q269*0.15 + R269*0.12 + S269*0.09, 2)</f>
        <v>6.78</v>
      </c>
    </row>
    <row r="270" customFormat="false" ht="15" hidden="false" customHeight="false" outlineLevel="0" collapsed="false">
      <c r="A270" s="5" t="n">
        <v>267</v>
      </c>
      <c r="B270" s="6" t="s">
        <v>581</v>
      </c>
      <c r="C270" s="6" t="s">
        <v>598</v>
      </c>
      <c r="D270" s="7" t="s">
        <v>606</v>
      </c>
      <c r="E270" s="6" t="s">
        <v>607</v>
      </c>
      <c r="F270" s="5" t="n">
        <v>9.5</v>
      </c>
      <c r="G270" s="5" t="n">
        <v>3</v>
      </c>
      <c r="H270" s="5" t="n">
        <v>2</v>
      </c>
      <c r="I270" s="5" t="n">
        <v>9</v>
      </c>
      <c r="J270" s="5" t="n">
        <v>8</v>
      </c>
      <c r="K270" s="5" t="n">
        <v>8</v>
      </c>
      <c r="L270" s="8" t="n">
        <v>900</v>
      </c>
      <c r="M270" s="5" t="n">
        <v>4</v>
      </c>
      <c r="N270" s="5" t="n">
        <v>3</v>
      </c>
      <c r="O270" s="6" t="s">
        <v>122</v>
      </c>
      <c r="P270" s="5" t="s">
        <v>123</v>
      </c>
      <c r="Q270" s="5" t="n">
        <v>10</v>
      </c>
      <c r="R270" s="5" t="n">
        <v>6</v>
      </c>
      <c r="S270" s="5" t="n">
        <v>7</v>
      </c>
      <c r="T270" s="9" t="n">
        <f aca="false">ROUND(F270*0.15 + G270*0.08 + H270*0.08 + I270*0.1 + J270*0.08 + M270*0.1 + N270*0.05 + Q270*0.15 + R270*0.12 + S270*0.09, 2)</f>
        <v>6.77</v>
      </c>
    </row>
    <row r="271" customFormat="false" ht="15" hidden="false" customHeight="false" outlineLevel="0" collapsed="false">
      <c r="A271" s="10" t="n">
        <v>268</v>
      </c>
      <c r="B271" s="11" t="s">
        <v>581</v>
      </c>
      <c r="C271" s="11" t="s">
        <v>608</v>
      </c>
      <c r="D271" s="12" t="s">
        <v>609</v>
      </c>
      <c r="E271" s="11" t="s">
        <v>184</v>
      </c>
      <c r="F271" s="10" t="n">
        <v>8.3</v>
      </c>
      <c r="G271" s="10" t="n">
        <v>6</v>
      </c>
      <c r="H271" s="10" t="n">
        <v>5</v>
      </c>
      <c r="I271" s="10" t="n">
        <v>8</v>
      </c>
      <c r="J271" s="10" t="n">
        <v>7</v>
      </c>
      <c r="K271" s="10" t="n">
        <v>5</v>
      </c>
      <c r="L271" s="13" t="n">
        <v>450</v>
      </c>
      <c r="M271" s="10" t="n">
        <v>6</v>
      </c>
      <c r="N271" s="10" t="n">
        <v>6</v>
      </c>
      <c r="O271" s="11" t="s">
        <v>321</v>
      </c>
      <c r="P271" s="10" t="s">
        <v>487</v>
      </c>
      <c r="Q271" s="10" t="n">
        <v>8</v>
      </c>
      <c r="R271" s="10" t="n">
        <v>7</v>
      </c>
      <c r="S271" s="10" t="n">
        <v>7.5</v>
      </c>
      <c r="T271" s="14" t="n">
        <f aca="false">ROUND(F271*0.15 + G271*0.08 + H271*0.08 + I271*0.1 + J271*0.08 + M271*0.1 + N271*0.05 + Q271*0.15 + R271*0.12 + S271*0.09, 2)</f>
        <v>7.1</v>
      </c>
    </row>
    <row r="272" customFormat="false" ht="15" hidden="false" customHeight="false" outlineLevel="0" collapsed="false">
      <c r="A272" s="5" t="n">
        <v>269</v>
      </c>
      <c r="B272" s="6" t="s">
        <v>581</v>
      </c>
      <c r="C272" s="6" t="s">
        <v>598</v>
      </c>
      <c r="D272" s="7" t="s">
        <v>610</v>
      </c>
      <c r="E272" s="6" t="s">
        <v>611</v>
      </c>
      <c r="F272" s="5" t="n">
        <v>8.5</v>
      </c>
      <c r="G272" s="5" t="n">
        <v>6</v>
      </c>
      <c r="H272" s="5" t="n">
        <v>4</v>
      </c>
      <c r="I272" s="5" t="n">
        <v>8</v>
      </c>
      <c r="J272" s="5" t="n">
        <v>8</v>
      </c>
      <c r="K272" s="5" t="n">
        <v>4</v>
      </c>
      <c r="L272" s="8" t="n">
        <v>500</v>
      </c>
      <c r="M272" s="5" t="n">
        <v>5</v>
      </c>
      <c r="N272" s="5" t="n">
        <v>5</v>
      </c>
      <c r="O272" s="6" t="s">
        <v>26</v>
      </c>
      <c r="P272" s="5" t="s">
        <v>287</v>
      </c>
      <c r="Q272" s="5" t="n">
        <v>8.5</v>
      </c>
      <c r="R272" s="5" t="n">
        <v>7</v>
      </c>
      <c r="S272" s="5" t="n">
        <v>7.5</v>
      </c>
      <c r="T272" s="9" t="n">
        <f aca="false">ROUND(F272*0.15 + G272*0.08 + H272*0.08 + I272*0.1 + J272*0.08 + M272*0.1 + N272*0.05 + Q272*0.15 + R272*0.12 + S272*0.09, 2)</f>
        <v>7.06</v>
      </c>
    </row>
    <row r="273" customFormat="false" ht="15" hidden="false" customHeight="false" outlineLevel="0" collapsed="false">
      <c r="A273" s="10" t="n">
        <v>270</v>
      </c>
      <c r="B273" s="11" t="s">
        <v>581</v>
      </c>
      <c r="C273" s="11" t="s">
        <v>612</v>
      </c>
      <c r="D273" s="12" t="s">
        <v>613</v>
      </c>
      <c r="E273" s="11" t="s">
        <v>614</v>
      </c>
      <c r="F273" s="10" t="n">
        <v>8.3</v>
      </c>
      <c r="G273" s="10" t="n">
        <v>9</v>
      </c>
      <c r="H273" s="10" t="n">
        <v>5</v>
      </c>
      <c r="I273" s="10" t="n">
        <v>6</v>
      </c>
      <c r="J273" s="10" t="n">
        <v>7</v>
      </c>
      <c r="K273" s="10" t="n">
        <v>3</v>
      </c>
      <c r="L273" s="13" t="n">
        <v>350</v>
      </c>
      <c r="M273" s="10" t="n">
        <v>7</v>
      </c>
      <c r="N273" s="10" t="n">
        <v>9</v>
      </c>
      <c r="O273" s="11" t="s">
        <v>36</v>
      </c>
      <c r="P273" s="11" t="s">
        <v>195</v>
      </c>
      <c r="Q273" s="10" t="n">
        <v>8</v>
      </c>
      <c r="R273" s="10" t="n">
        <v>7.5</v>
      </c>
      <c r="S273" s="10" t="n">
        <v>8.5</v>
      </c>
      <c r="T273" s="14" t="n">
        <f aca="false">ROUND(F273*0.15 + G273*0.08 + H273*0.08 + I273*0.1 + J273*0.08 + M273*0.1 + N273*0.05 + Q273*0.15 + R273*0.12 + S273*0.09, 2)</f>
        <v>7.54</v>
      </c>
    </row>
    <row r="274" customFormat="false" ht="15" hidden="false" customHeight="false" outlineLevel="0" collapsed="false">
      <c r="A274" s="5" t="n">
        <v>271</v>
      </c>
      <c r="B274" s="6" t="s">
        <v>581</v>
      </c>
      <c r="C274" s="6" t="s">
        <v>589</v>
      </c>
      <c r="D274" s="7" t="s">
        <v>615</v>
      </c>
      <c r="E274" s="6" t="s">
        <v>67</v>
      </c>
      <c r="F274" s="5" t="n">
        <v>9</v>
      </c>
      <c r="G274" s="5" t="n">
        <v>9</v>
      </c>
      <c r="H274" s="5" t="n">
        <v>7</v>
      </c>
      <c r="I274" s="5" t="n">
        <v>8</v>
      </c>
      <c r="J274" s="5" t="n">
        <v>8</v>
      </c>
      <c r="K274" s="5" t="n">
        <v>4</v>
      </c>
      <c r="L274" s="8" t="n">
        <v>600</v>
      </c>
      <c r="M274" s="5" t="n">
        <v>9</v>
      </c>
      <c r="N274" s="5" t="n">
        <v>8</v>
      </c>
      <c r="O274" s="6" t="s">
        <v>36</v>
      </c>
      <c r="P274" s="6" t="s">
        <v>195</v>
      </c>
      <c r="Q274" s="5" t="n">
        <v>9</v>
      </c>
      <c r="R274" s="5" t="n">
        <v>9</v>
      </c>
      <c r="S274" s="5" t="n">
        <v>8</v>
      </c>
      <c r="T274" s="9" t="n">
        <f aca="false">ROUND(F274*0.15 + G274*0.08 + H274*0.08 + I274*0.1 + J274*0.08 + M274*0.1 + N274*0.05 + Q274*0.15 + R274*0.12 + S274*0.09, 2)</f>
        <v>8.52</v>
      </c>
    </row>
    <row r="275" customFormat="false" ht="15" hidden="false" customHeight="false" outlineLevel="0" collapsed="false">
      <c r="A275" s="10" t="n">
        <v>272</v>
      </c>
      <c r="B275" s="11" t="s">
        <v>581</v>
      </c>
      <c r="C275" s="11" t="s">
        <v>616</v>
      </c>
      <c r="D275" s="12" t="s">
        <v>617</v>
      </c>
      <c r="E275" s="11" t="s">
        <v>71</v>
      </c>
      <c r="F275" s="10" t="n">
        <v>8.3</v>
      </c>
      <c r="G275" s="10" t="n">
        <v>5</v>
      </c>
      <c r="H275" s="10" t="n">
        <v>3</v>
      </c>
      <c r="I275" s="10" t="n">
        <v>7</v>
      </c>
      <c r="J275" s="10" t="n">
        <v>7</v>
      </c>
      <c r="K275" s="10" t="n">
        <v>6</v>
      </c>
      <c r="L275" s="13" t="n">
        <v>450</v>
      </c>
      <c r="M275" s="10" t="n">
        <v>5</v>
      </c>
      <c r="N275" s="10" t="n">
        <v>4</v>
      </c>
      <c r="O275" s="11" t="s">
        <v>122</v>
      </c>
      <c r="P275" s="10" t="s">
        <v>618</v>
      </c>
      <c r="Q275" s="10" t="n">
        <v>8</v>
      </c>
      <c r="R275" s="10" t="n">
        <v>6.5</v>
      </c>
      <c r="S275" s="10" t="n">
        <v>7.5</v>
      </c>
      <c r="T275" s="14" t="n">
        <f aca="false">ROUND(F275*0.15 + G275*0.08 + H275*0.08 + I275*0.1 + J275*0.08 + M275*0.1 + N275*0.05 + Q275*0.15 + R275*0.12 + S275*0.09, 2)</f>
        <v>6.5</v>
      </c>
    </row>
    <row r="276" customFormat="false" ht="15" hidden="false" customHeight="false" outlineLevel="0" collapsed="false">
      <c r="A276" s="5" t="n">
        <v>273</v>
      </c>
      <c r="B276" s="6" t="s">
        <v>581</v>
      </c>
      <c r="C276" s="6" t="s">
        <v>619</v>
      </c>
      <c r="D276" s="7" t="s">
        <v>620</v>
      </c>
      <c r="E276" s="6" t="s">
        <v>67</v>
      </c>
      <c r="F276" s="5" t="n">
        <v>8.2</v>
      </c>
      <c r="G276" s="5" t="n">
        <v>7</v>
      </c>
      <c r="H276" s="5" t="n">
        <v>5</v>
      </c>
      <c r="I276" s="5" t="n">
        <v>7</v>
      </c>
      <c r="J276" s="5" t="n">
        <v>7</v>
      </c>
      <c r="K276" s="5" t="n">
        <v>5</v>
      </c>
      <c r="L276" s="8" t="n">
        <v>450</v>
      </c>
      <c r="M276" s="5" t="n">
        <v>6</v>
      </c>
      <c r="N276" s="5" t="n">
        <v>7</v>
      </c>
      <c r="O276" s="6" t="s">
        <v>26</v>
      </c>
      <c r="P276" s="5" t="s">
        <v>27</v>
      </c>
      <c r="Q276" s="5" t="n">
        <v>7.5</v>
      </c>
      <c r="R276" s="5" t="n">
        <v>7</v>
      </c>
      <c r="S276" s="5" t="n">
        <v>7.5</v>
      </c>
      <c r="T276" s="9" t="n">
        <f aca="false">ROUND(F276*0.15 + G276*0.08 + H276*0.08 + I276*0.1 + J276*0.08 + M276*0.1 + N276*0.05 + Q276*0.15 + R276*0.12 + S276*0.09, 2)</f>
        <v>7.04</v>
      </c>
    </row>
    <row r="277" customFormat="false" ht="15" hidden="false" customHeight="false" outlineLevel="0" collapsed="false">
      <c r="A277" s="10" t="n">
        <v>274</v>
      </c>
      <c r="B277" s="11" t="s">
        <v>621</v>
      </c>
      <c r="C277" s="11" t="s">
        <v>622</v>
      </c>
      <c r="D277" s="12" t="s">
        <v>623</v>
      </c>
      <c r="E277" s="11" t="s">
        <v>529</v>
      </c>
      <c r="F277" s="10" t="n">
        <v>9.2</v>
      </c>
      <c r="G277" s="10" t="n">
        <v>7</v>
      </c>
      <c r="H277" s="10" t="n">
        <v>5</v>
      </c>
      <c r="I277" s="10" t="n">
        <v>8</v>
      </c>
      <c r="J277" s="10" t="n">
        <v>8</v>
      </c>
      <c r="K277" s="10" t="n">
        <v>4</v>
      </c>
      <c r="L277" s="13" t="n">
        <v>600</v>
      </c>
      <c r="M277" s="10" t="n">
        <v>7</v>
      </c>
      <c r="N277" s="10" t="n">
        <v>5</v>
      </c>
      <c r="O277" s="11" t="s">
        <v>61</v>
      </c>
      <c r="P277" s="10" t="s">
        <v>64</v>
      </c>
      <c r="Q277" s="10" t="n">
        <v>9.5</v>
      </c>
      <c r="R277" s="10" t="n">
        <v>8</v>
      </c>
      <c r="S277" s="10" t="n">
        <v>7.5</v>
      </c>
      <c r="T277" s="14" t="n">
        <f aca="false">ROUND(F277*0.15 + G277*0.08 + H277*0.08 + I277*0.1 + J277*0.08 + M277*0.1 + N277*0.05 + Q277*0.15 + R277*0.12 + S277*0.09, 2)</f>
        <v>7.79</v>
      </c>
    </row>
    <row r="278" customFormat="false" ht="15" hidden="false" customHeight="false" outlineLevel="0" collapsed="false">
      <c r="A278" s="5" t="n">
        <v>275</v>
      </c>
      <c r="B278" s="6" t="s">
        <v>621</v>
      </c>
      <c r="C278" s="6" t="s">
        <v>622</v>
      </c>
      <c r="D278" s="7" t="s">
        <v>624</v>
      </c>
      <c r="E278" s="6" t="s">
        <v>80</v>
      </c>
      <c r="F278" s="5" t="n">
        <v>8.3</v>
      </c>
      <c r="G278" s="5" t="n">
        <v>6</v>
      </c>
      <c r="H278" s="5" t="n">
        <v>5</v>
      </c>
      <c r="I278" s="5" t="n">
        <v>7</v>
      </c>
      <c r="J278" s="5" t="n">
        <v>7</v>
      </c>
      <c r="K278" s="5" t="n">
        <v>4</v>
      </c>
      <c r="L278" s="8" t="n">
        <v>500</v>
      </c>
      <c r="M278" s="5" t="n">
        <v>6</v>
      </c>
      <c r="N278" s="5" t="n">
        <v>6</v>
      </c>
      <c r="O278" s="6" t="s">
        <v>26</v>
      </c>
      <c r="P278" s="5" t="s">
        <v>198</v>
      </c>
      <c r="Q278" s="5" t="n">
        <v>8</v>
      </c>
      <c r="R278" s="5" t="n">
        <v>7</v>
      </c>
      <c r="S278" s="5" t="n">
        <v>7.5</v>
      </c>
      <c r="T278" s="9" t="n">
        <f aca="false">ROUND(F278*0.15 + G278*0.08 + H278*0.08 + I278*0.1 + J278*0.08 + M278*0.1 + N278*0.05 + Q278*0.15 + R278*0.12 + S278*0.09, 2)</f>
        <v>7</v>
      </c>
    </row>
    <row r="279" customFormat="false" ht="15" hidden="false" customHeight="false" outlineLevel="0" collapsed="false">
      <c r="A279" s="10" t="n">
        <v>276</v>
      </c>
      <c r="B279" s="11" t="s">
        <v>621</v>
      </c>
      <c r="C279" s="11" t="s">
        <v>625</v>
      </c>
      <c r="D279" s="12" t="s">
        <v>626</v>
      </c>
      <c r="E279" s="11" t="s">
        <v>71</v>
      </c>
      <c r="F279" s="10" t="n">
        <v>9</v>
      </c>
      <c r="G279" s="10" t="n">
        <v>6</v>
      </c>
      <c r="H279" s="10" t="n">
        <v>4</v>
      </c>
      <c r="I279" s="10" t="n">
        <v>8</v>
      </c>
      <c r="J279" s="10" t="n">
        <v>7</v>
      </c>
      <c r="K279" s="10" t="n">
        <v>6</v>
      </c>
      <c r="L279" s="13" t="n">
        <v>500</v>
      </c>
      <c r="M279" s="10" t="n">
        <v>5</v>
      </c>
      <c r="N279" s="10" t="n">
        <v>5</v>
      </c>
      <c r="O279" s="11" t="s">
        <v>68</v>
      </c>
      <c r="P279" s="10" t="s">
        <v>69</v>
      </c>
      <c r="Q279" s="10" t="n">
        <v>9.5</v>
      </c>
      <c r="R279" s="10" t="n">
        <v>7</v>
      </c>
      <c r="S279" s="10" t="n">
        <v>7.5</v>
      </c>
      <c r="T279" s="14" t="n">
        <f aca="false">ROUND(F279*0.15 + G279*0.08 + H279*0.08 + I279*0.1 + J279*0.08 + M279*0.1 + N279*0.05 + Q279*0.15 + R279*0.12 + S279*0.09, 2)</f>
        <v>7.2</v>
      </c>
    </row>
    <row r="280" customFormat="false" ht="15" hidden="false" customHeight="false" outlineLevel="0" collapsed="false">
      <c r="A280" s="5" t="n">
        <v>277</v>
      </c>
      <c r="B280" s="6" t="s">
        <v>621</v>
      </c>
      <c r="C280" s="6" t="s">
        <v>627</v>
      </c>
      <c r="D280" s="7" t="s">
        <v>628</v>
      </c>
      <c r="E280" s="6" t="s">
        <v>57</v>
      </c>
      <c r="F280" s="5" t="n">
        <v>9</v>
      </c>
      <c r="G280" s="5" t="n">
        <v>4</v>
      </c>
      <c r="H280" s="5" t="n">
        <v>3</v>
      </c>
      <c r="I280" s="5" t="n">
        <v>8</v>
      </c>
      <c r="J280" s="5" t="n">
        <v>8</v>
      </c>
      <c r="K280" s="5" t="n">
        <v>6</v>
      </c>
      <c r="L280" s="8" t="n">
        <v>600</v>
      </c>
      <c r="M280" s="5" t="n">
        <v>5</v>
      </c>
      <c r="N280" s="5" t="n">
        <v>4</v>
      </c>
      <c r="O280" s="6" t="s">
        <v>26</v>
      </c>
      <c r="P280" s="5" t="s">
        <v>27</v>
      </c>
      <c r="Q280" s="5" t="n">
        <v>9.5</v>
      </c>
      <c r="R280" s="5" t="n">
        <v>7</v>
      </c>
      <c r="S280" s="5" t="n">
        <v>7.5</v>
      </c>
      <c r="T280" s="9" t="n">
        <f aca="false">ROUND(F280*0.15 + G280*0.08 + H280*0.08 + I280*0.1 + J280*0.08 + M280*0.1 + N280*0.05 + Q280*0.15 + R280*0.12 + S280*0.09, 2)</f>
        <v>6.99</v>
      </c>
    </row>
    <row r="281" customFormat="false" ht="15" hidden="false" customHeight="false" outlineLevel="0" collapsed="false">
      <c r="A281" s="10" t="n">
        <v>278</v>
      </c>
      <c r="B281" s="11" t="s">
        <v>621</v>
      </c>
      <c r="C281" s="11" t="s">
        <v>629</v>
      </c>
      <c r="D281" s="12" t="s">
        <v>630</v>
      </c>
      <c r="E281" s="11" t="s">
        <v>631</v>
      </c>
      <c r="F281" s="10" t="n">
        <v>8.5</v>
      </c>
      <c r="G281" s="10" t="n">
        <v>6</v>
      </c>
      <c r="H281" s="10" t="n">
        <v>5</v>
      </c>
      <c r="I281" s="10" t="n">
        <v>8</v>
      </c>
      <c r="J281" s="10" t="n">
        <v>7</v>
      </c>
      <c r="K281" s="10" t="n">
        <v>4</v>
      </c>
      <c r="L281" s="13" t="n">
        <v>400</v>
      </c>
      <c r="M281" s="10" t="n">
        <v>5</v>
      </c>
      <c r="N281" s="10" t="n">
        <v>3</v>
      </c>
      <c r="O281" s="11" t="s">
        <v>219</v>
      </c>
      <c r="P281" s="10" t="s">
        <v>220</v>
      </c>
      <c r="Q281" s="10" t="n">
        <v>8</v>
      </c>
      <c r="R281" s="10" t="n">
        <v>7</v>
      </c>
      <c r="S281" s="10" t="n">
        <v>7.5</v>
      </c>
      <c r="T281" s="14" t="n">
        <f aca="false">ROUND(F281*0.15 + G281*0.08 + H281*0.08 + I281*0.1 + J281*0.08 + M281*0.1 + N281*0.05 + Q281*0.15 + R281*0.12 + S281*0.09, 2)</f>
        <v>6.88</v>
      </c>
    </row>
    <row r="282" customFormat="false" ht="15" hidden="false" customHeight="false" outlineLevel="0" collapsed="false">
      <c r="A282" s="5" t="n">
        <v>279</v>
      </c>
      <c r="B282" s="6" t="s">
        <v>621</v>
      </c>
      <c r="C282" s="6" t="s">
        <v>632</v>
      </c>
      <c r="D282" s="7" t="s">
        <v>633</v>
      </c>
      <c r="E282" s="6" t="s">
        <v>74</v>
      </c>
      <c r="F282" s="5" t="n">
        <v>8.5</v>
      </c>
      <c r="G282" s="5" t="n">
        <v>5</v>
      </c>
      <c r="H282" s="5" t="n">
        <v>7</v>
      </c>
      <c r="I282" s="5" t="n">
        <v>6</v>
      </c>
      <c r="J282" s="5" t="n">
        <v>8</v>
      </c>
      <c r="K282" s="5" t="n">
        <v>2</v>
      </c>
      <c r="L282" s="8" t="n">
        <v>400</v>
      </c>
      <c r="M282" s="5" t="n">
        <v>7</v>
      </c>
      <c r="N282" s="5" t="n">
        <v>9</v>
      </c>
      <c r="O282" s="6" t="s">
        <v>36</v>
      </c>
      <c r="P282" s="6" t="s">
        <v>195</v>
      </c>
      <c r="Q282" s="5" t="n">
        <v>9.5</v>
      </c>
      <c r="R282" s="5" t="n">
        <v>8</v>
      </c>
      <c r="S282" s="5" t="n">
        <v>9</v>
      </c>
      <c r="T282" s="9" t="n">
        <f aca="false">ROUND(F282*0.15 + G282*0.08 + H282*0.08 + I282*0.1 + J282*0.08 + M282*0.1 + N282*0.05 + Q282*0.15 + R282*0.12 + S282*0.09, 2)</f>
        <v>7.82</v>
      </c>
    </row>
    <row r="283" customFormat="false" ht="15" hidden="false" customHeight="false" outlineLevel="0" collapsed="false">
      <c r="A283" s="10" t="n">
        <v>280</v>
      </c>
      <c r="B283" s="11" t="s">
        <v>621</v>
      </c>
      <c r="C283" s="11" t="s">
        <v>634</v>
      </c>
      <c r="D283" s="12" t="s">
        <v>635</v>
      </c>
      <c r="E283" s="11" t="s">
        <v>25</v>
      </c>
      <c r="F283" s="10" t="n">
        <v>8.5</v>
      </c>
      <c r="G283" s="10" t="n">
        <v>7</v>
      </c>
      <c r="H283" s="10" t="n">
        <v>6</v>
      </c>
      <c r="I283" s="10" t="n">
        <v>8</v>
      </c>
      <c r="J283" s="10" t="n">
        <v>8</v>
      </c>
      <c r="K283" s="10" t="n">
        <v>5</v>
      </c>
      <c r="L283" s="13" t="n">
        <v>400</v>
      </c>
      <c r="M283" s="10" t="n">
        <v>5</v>
      </c>
      <c r="N283" s="10" t="n">
        <v>7</v>
      </c>
      <c r="O283" s="11" t="s">
        <v>26</v>
      </c>
      <c r="P283" s="10" t="s">
        <v>198</v>
      </c>
      <c r="Q283" s="10" t="n">
        <v>8.5</v>
      </c>
      <c r="R283" s="10" t="n">
        <v>7</v>
      </c>
      <c r="S283" s="10" t="n">
        <v>8.5</v>
      </c>
      <c r="T283" s="14" t="n">
        <f aca="false">ROUND(F283*0.15 + G283*0.08 + H283*0.08 + I283*0.1 + J283*0.08 + M283*0.1 + N283*0.05 + Q283*0.15 + R283*0.12 + S283*0.09, 2)</f>
        <v>7.49</v>
      </c>
    </row>
    <row r="284" customFormat="false" ht="15" hidden="false" customHeight="false" outlineLevel="0" collapsed="false">
      <c r="A284" s="5" t="n">
        <v>281</v>
      </c>
      <c r="B284" s="6" t="s">
        <v>621</v>
      </c>
      <c r="C284" s="6" t="s">
        <v>636</v>
      </c>
      <c r="D284" s="7" t="s">
        <v>637</v>
      </c>
      <c r="E284" s="6" t="s">
        <v>25</v>
      </c>
      <c r="F284" s="5" t="n">
        <v>8.2</v>
      </c>
      <c r="G284" s="5" t="n">
        <v>7</v>
      </c>
      <c r="H284" s="5" t="n">
        <v>7</v>
      </c>
      <c r="I284" s="5" t="n">
        <v>7</v>
      </c>
      <c r="J284" s="5" t="n">
        <v>8</v>
      </c>
      <c r="K284" s="5" t="n">
        <v>3</v>
      </c>
      <c r="L284" s="8" t="n">
        <v>400</v>
      </c>
      <c r="M284" s="5" t="n">
        <v>8</v>
      </c>
      <c r="N284" s="5" t="n">
        <v>8</v>
      </c>
      <c r="O284" s="6" t="s">
        <v>26</v>
      </c>
      <c r="P284" s="5" t="s">
        <v>198</v>
      </c>
      <c r="Q284" s="5" t="n">
        <v>8</v>
      </c>
      <c r="R284" s="5" t="n">
        <v>8</v>
      </c>
      <c r="S284" s="5" t="n">
        <v>8.5</v>
      </c>
      <c r="T284" s="9" t="n">
        <f aca="false">ROUND(F284*0.15 + G284*0.08 + H284*0.08 + I284*0.1 + J284*0.08 + M284*0.1 + N284*0.05 + Q284*0.15 + R284*0.12 + S284*0.09, 2)</f>
        <v>7.82</v>
      </c>
    </row>
    <row r="285" customFormat="false" ht="15" hidden="false" customHeight="false" outlineLevel="0" collapsed="false">
      <c r="A285" s="10" t="n">
        <v>282</v>
      </c>
      <c r="B285" s="11" t="s">
        <v>621</v>
      </c>
      <c r="C285" s="11" t="s">
        <v>638</v>
      </c>
      <c r="D285" s="12" t="s">
        <v>639</v>
      </c>
      <c r="E285" s="11" t="s">
        <v>71</v>
      </c>
      <c r="F285" s="10" t="n">
        <v>8.5</v>
      </c>
      <c r="G285" s="10" t="n">
        <v>5</v>
      </c>
      <c r="H285" s="10" t="n">
        <v>4</v>
      </c>
      <c r="I285" s="10" t="n">
        <v>8</v>
      </c>
      <c r="J285" s="10" t="n">
        <v>8</v>
      </c>
      <c r="K285" s="10" t="n">
        <v>4</v>
      </c>
      <c r="L285" s="13" t="n">
        <v>400</v>
      </c>
      <c r="M285" s="10" t="n">
        <v>5</v>
      </c>
      <c r="N285" s="10" t="n">
        <v>6</v>
      </c>
      <c r="O285" s="11" t="s">
        <v>26</v>
      </c>
      <c r="P285" s="10" t="s">
        <v>640</v>
      </c>
      <c r="Q285" s="10" t="n">
        <v>8.5</v>
      </c>
      <c r="R285" s="10" t="n">
        <v>7</v>
      </c>
      <c r="S285" s="10" t="n">
        <v>8</v>
      </c>
      <c r="T285" s="14" t="n">
        <f aca="false">ROUND(F285*0.15 + G285*0.08 + H285*0.08 + I285*0.1 + J285*0.08 + M285*0.1 + N285*0.05 + Q285*0.15 + R285*0.12 + S285*0.09, 2)</f>
        <v>7.07</v>
      </c>
    </row>
    <row r="286" customFormat="false" ht="15" hidden="false" customHeight="false" outlineLevel="0" collapsed="false">
      <c r="A286" s="5" t="n">
        <v>283</v>
      </c>
      <c r="B286" s="6" t="s">
        <v>641</v>
      </c>
      <c r="C286" s="6" t="s">
        <v>642</v>
      </c>
      <c r="D286" s="7" t="s">
        <v>643</v>
      </c>
      <c r="E286" s="6" t="s">
        <v>25</v>
      </c>
      <c r="F286" s="5" t="n">
        <v>9</v>
      </c>
      <c r="G286" s="5" t="n">
        <v>7</v>
      </c>
      <c r="H286" s="5" t="n">
        <v>6</v>
      </c>
      <c r="I286" s="5" t="n">
        <v>10</v>
      </c>
      <c r="J286" s="5" t="n">
        <v>9</v>
      </c>
      <c r="K286" s="5" t="n">
        <v>6</v>
      </c>
      <c r="L286" s="8" t="n">
        <v>700</v>
      </c>
      <c r="M286" s="5" t="n">
        <v>8</v>
      </c>
      <c r="N286" s="5" t="n">
        <v>7</v>
      </c>
      <c r="O286" s="6" t="s">
        <v>321</v>
      </c>
      <c r="P286" s="5" t="s">
        <v>644</v>
      </c>
      <c r="Q286" s="5" t="n">
        <v>9.5</v>
      </c>
      <c r="R286" s="5" t="n">
        <v>8.5</v>
      </c>
      <c r="S286" s="5" t="n">
        <v>7.5</v>
      </c>
      <c r="T286" s="9" t="n">
        <f aca="false">ROUND(F286*0.15 + G286*0.08 + H286*0.08 + I286*0.1 + J286*0.08 + M286*0.1 + N286*0.05 + Q286*0.15 + R286*0.12 + S286*0.09, 2)</f>
        <v>8.38</v>
      </c>
    </row>
    <row r="287" customFormat="false" ht="15" hidden="false" customHeight="false" outlineLevel="0" collapsed="false">
      <c r="A287" s="10" t="n">
        <v>284</v>
      </c>
      <c r="B287" s="11" t="s">
        <v>641</v>
      </c>
      <c r="C287" s="11" t="s">
        <v>645</v>
      </c>
      <c r="D287" s="12" t="s">
        <v>646</v>
      </c>
      <c r="E287" s="11" t="s">
        <v>92</v>
      </c>
      <c r="F287" s="10" t="n">
        <v>8.5</v>
      </c>
      <c r="G287" s="10" t="n">
        <v>6</v>
      </c>
      <c r="H287" s="10" t="n">
        <v>5</v>
      </c>
      <c r="I287" s="10" t="n">
        <v>8</v>
      </c>
      <c r="J287" s="10" t="n">
        <v>8</v>
      </c>
      <c r="K287" s="10" t="n">
        <v>3</v>
      </c>
      <c r="L287" s="13" t="n">
        <v>500</v>
      </c>
      <c r="M287" s="10" t="n">
        <v>8</v>
      </c>
      <c r="N287" s="10" t="n">
        <v>8</v>
      </c>
      <c r="O287" s="11" t="s">
        <v>36</v>
      </c>
      <c r="P287" s="10" t="s">
        <v>198</v>
      </c>
      <c r="Q287" s="10" t="n">
        <v>8.5</v>
      </c>
      <c r="R287" s="10" t="n">
        <v>8</v>
      </c>
      <c r="S287" s="10" t="n">
        <v>7.5</v>
      </c>
      <c r="T287" s="14" t="n">
        <f aca="false">ROUND(F287*0.15 + G287*0.08 + H287*0.08 + I287*0.1 + J287*0.08 + M287*0.1 + N287*0.05 + Q287*0.15 + R287*0.12 + S287*0.09, 2)</f>
        <v>7.71</v>
      </c>
    </row>
    <row r="288" customFormat="false" ht="15" hidden="false" customHeight="false" outlineLevel="0" collapsed="false">
      <c r="A288" s="5" t="n">
        <v>285</v>
      </c>
      <c r="B288" s="6" t="s">
        <v>641</v>
      </c>
      <c r="C288" s="6" t="s">
        <v>647</v>
      </c>
      <c r="D288" s="7" t="s">
        <v>648</v>
      </c>
      <c r="E288" s="6" t="s">
        <v>607</v>
      </c>
      <c r="F288" s="5" t="n">
        <v>8.8</v>
      </c>
      <c r="G288" s="5" t="n">
        <v>5</v>
      </c>
      <c r="H288" s="5" t="n">
        <v>4</v>
      </c>
      <c r="I288" s="5" t="n">
        <v>9</v>
      </c>
      <c r="J288" s="5" t="n">
        <v>7</v>
      </c>
      <c r="K288" s="5" t="n">
        <v>5</v>
      </c>
      <c r="L288" s="8" t="n">
        <v>700</v>
      </c>
      <c r="M288" s="5" t="n">
        <v>5</v>
      </c>
      <c r="N288" s="5" t="n">
        <v>4</v>
      </c>
      <c r="O288" s="6" t="s">
        <v>26</v>
      </c>
      <c r="P288" s="5" t="s">
        <v>27</v>
      </c>
      <c r="Q288" s="5" t="n">
        <v>9.5</v>
      </c>
      <c r="R288" s="5" t="n">
        <v>7</v>
      </c>
      <c r="S288" s="5" t="n">
        <v>7</v>
      </c>
      <c r="T288" s="9" t="n">
        <f aca="false">ROUND(F288*0.15 + G288*0.08 + H288*0.08 + I288*0.1 + J288*0.08 + M288*0.1 + N288*0.05 + Q288*0.15 + R288*0.12 + S288*0.09, 2)</f>
        <v>7.1</v>
      </c>
    </row>
    <row r="289" customFormat="false" ht="15" hidden="false" customHeight="false" outlineLevel="0" collapsed="false">
      <c r="A289" s="10" t="n">
        <v>286</v>
      </c>
      <c r="B289" s="11" t="s">
        <v>641</v>
      </c>
      <c r="C289" s="11" t="s">
        <v>649</v>
      </c>
      <c r="D289" s="12" t="s">
        <v>650</v>
      </c>
      <c r="E289" s="11" t="s">
        <v>116</v>
      </c>
      <c r="F289" s="10" t="n">
        <v>8.8</v>
      </c>
      <c r="G289" s="10" t="n">
        <v>7</v>
      </c>
      <c r="H289" s="10" t="n">
        <v>5</v>
      </c>
      <c r="I289" s="10" t="n">
        <v>8</v>
      </c>
      <c r="J289" s="10" t="n">
        <v>7</v>
      </c>
      <c r="K289" s="10" t="n">
        <v>4</v>
      </c>
      <c r="L289" s="13" t="n">
        <v>500</v>
      </c>
      <c r="M289" s="10" t="n">
        <v>8</v>
      </c>
      <c r="N289" s="10" t="n">
        <v>7</v>
      </c>
      <c r="O289" s="11" t="s">
        <v>36</v>
      </c>
      <c r="P289" s="11" t="s">
        <v>195</v>
      </c>
      <c r="Q289" s="10" t="n">
        <v>9</v>
      </c>
      <c r="R289" s="10" t="n">
        <v>8</v>
      </c>
      <c r="S289" s="10" t="n">
        <v>7.5</v>
      </c>
      <c r="T289" s="14" t="n">
        <f aca="false">ROUND(F289*0.15 + G289*0.08 + H289*0.08 + I289*0.1 + J289*0.08 + M289*0.1 + N289*0.05 + Q289*0.15 + R289*0.12 + S289*0.09, 2)</f>
        <v>7.78</v>
      </c>
    </row>
    <row r="290" customFormat="false" ht="15" hidden="false" customHeight="false" outlineLevel="0" collapsed="false">
      <c r="A290" s="5" t="n">
        <v>287</v>
      </c>
      <c r="B290" s="6" t="s">
        <v>641</v>
      </c>
      <c r="C290" s="6" t="s">
        <v>642</v>
      </c>
      <c r="D290" s="7" t="s">
        <v>651</v>
      </c>
      <c r="E290" s="6" t="s">
        <v>600</v>
      </c>
      <c r="F290" s="5" t="n">
        <v>9</v>
      </c>
      <c r="G290" s="5" t="n">
        <v>5</v>
      </c>
      <c r="H290" s="5" t="n">
        <v>3</v>
      </c>
      <c r="I290" s="5" t="n">
        <v>9</v>
      </c>
      <c r="J290" s="5" t="n">
        <v>7</v>
      </c>
      <c r="K290" s="5" t="n">
        <v>5</v>
      </c>
      <c r="L290" s="8" t="n">
        <v>800</v>
      </c>
      <c r="M290" s="5" t="n">
        <v>7</v>
      </c>
      <c r="N290" s="5" t="n">
        <v>5</v>
      </c>
      <c r="O290" s="6" t="s">
        <v>525</v>
      </c>
      <c r="P290" s="5" t="s">
        <v>652</v>
      </c>
      <c r="Q290" s="5" t="n">
        <v>9.5</v>
      </c>
      <c r="R290" s="5" t="n">
        <v>8</v>
      </c>
      <c r="S290" s="5" t="n">
        <v>7</v>
      </c>
      <c r="T290" s="9" t="n">
        <f aca="false">ROUND(F290*0.15 + G290*0.08 + H290*0.08 + I290*0.1 + J290*0.08 + M290*0.1 + N290*0.05 + Q290*0.15 + R290*0.12 + S290*0.09, 2)</f>
        <v>7.42</v>
      </c>
    </row>
    <row r="291" customFormat="false" ht="15" hidden="false" customHeight="false" outlineLevel="0" collapsed="false">
      <c r="A291" s="10" t="n">
        <v>288</v>
      </c>
      <c r="B291" s="11" t="s">
        <v>641</v>
      </c>
      <c r="C291" s="11" t="s">
        <v>653</v>
      </c>
      <c r="D291" s="12" t="s">
        <v>654</v>
      </c>
      <c r="E291" s="11" t="s">
        <v>67</v>
      </c>
      <c r="F291" s="10" t="n">
        <v>8.5</v>
      </c>
      <c r="G291" s="10" t="n">
        <v>8</v>
      </c>
      <c r="H291" s="10" t="n">
        <v>6</v>
      </c>
      <c r="I291" s="10" t="n">
        <v>7</v>
      </c>
      <c r="J291" s="10" t="n">
        <v>7</v>
      </c>
      <c r="K291" s="10" t="n">
        <v>4</v>
      </c>
      <c r="L291" s="13" t="n">
        <v>500</v>
      </c>
      <c r="M291" s="10" t="n">
        <v>6</v>
      </c>
      <c r="N291" s="10" t="n">
        <v>7</v>
      </c>
      <c r="O291" s="11" t="s">
        <v>655</v>
      </c>
      <c r="P291" s="10" t="s">
        <v>656</v>
      </c>
      <c r="Q291" s="10" t="n">
        <v>8.5</v>
      </c>
      <c r="R291" s="10" t="n">
        <v>8</v>
      </c>
      <c r="S291" s="10" t="n">
        <v>8</v>
      </c>
      <c r="T291" s="14" t="n">
        <f aca="false">ROUND(F291*0.15 + G291*0.08 + H291*0.08 + I291*0.1 + J291*0.08 + M291*0.1 + N291*0.05 + Q291*0.15 + R291*0.12 + S291*0.09, 2)</f>
        <v>7.56</v>
      </c>
    </row>
    <row r="292" customFormat="false" ht="15" hidden="false" customHeight="false" outlineLevel="0" collapsed="false">
      <c r="A292" s="5" t="n">
        <v>289</v>
      </c>
      <c r="B292" s="6" t="s">
        <v>641</v>
      </c>
      <c r="C292" s="6" t="s">
        <v>657</v>
      </c>
      <c r="D292" s="7" t="s">
        <v>658</v>
      </c>
      <c r="E292" s="6" t="s">
        <v>116</v>
      </c>
      <c r="F292" s="5" t="n">
        <v>8.5</v>
      </c>
      <c r="G292" s="5" t="n">
        <v>6</v>
      </c>
      <c r="H292" s="5" t="n">
        <v>6</v>
      </c>
      <c r="I292" s="5" t="n">
        <v>8</v>
      </c>
      <c r="J292" s="5" t="n">
        <v>7</v>
      </c>
      <c r="K292" s="5" t="n">
        <v>5</v>
      </c>
      <c r="L292" s="8" t="n">
        <v>600</v>
      </c>
      <c r="M292" s="5" t="n">
        <v>6</v>
      </c>
      <c r="N292" s="5" t="n">
        <v>7</v>
      </c>
      <c r="O292" s="6" t="s">
        <v>659</v>
      </c>
      <c r="P292" s="5" t="s">
        <v>660</v>
      </c>
      <c r="Q292" s="5" t="n">
        <v>8.5</v>
      </c>
      <c r="R292" s="5" t="n">
        <v>7.5</v>
      </c>
      <c r="S292" s="5" t="n">
        <v>7</v>
      </c>
      <c r="T292" s="9" t="n">
        <f aca="false">ROUND(F292*0.15 + G292*0.08 + H292*0.08 + I292*0.1 + J292*0.08 + M292*0.1 + N292*0.05 + Q292*0.15 + R292*0.12 + S292*0.09, 2)</f>
        <v>7.35</v>
      </c>
    </row>
    <row r="293" customFormat="false" ht="15" hidden="false" customHeight="false" outlineLevel="0" collapsed="false">
      <c r="A293" s="10" t="n">
        <v>290</v>
      </c>
      <c r="B293" s="11" t="s">
        <v>641</v>
      </c>
      <c r="C293" s="11" t="s">
        <v>649</v>
      </c>
      <c r="D293" s="12" t="s">
        <v>661</v>
      </c>
      <c r="E293" s="11" t="s">
        <v>662</v>
      </c>
      <c r="F293" s="10" t="n">
        <v>7.8</v>
      </c>
      <c r="G293" s="10" t="n">
        <v>7</v>
      </c>
      <c r="H293" s="10" t="n">
        <v>7</v>
      </c>
      <c r="I293" s="10" t="n">
        <v>6</v>
      </c>
      <c r="J293" s="10" t="n">
        <v>6</v>
      </c>
      <c r="K293" s="10" t="n">
        <v>3</v>
      </c>
      <c r="L293" s="13" t="n">
        <v>400</v>
      </c>
      <c r="M293" s="10" t="n">
        <v>8</v>
      </c>
      <c r="N293" s="10" t="n">
        <v>8</v>
      </c>
      <c r="O293" s="11" t="s">
        <v>219</v>
      </c>
      <c r="P293" s="10" t="s">
        <v>663</v>
      </c>
      <c r="Q293" s="10" t="n">
        <v>7</v>
      </c>
      <c r="R293" s="10" t="n">
        <v>7.5</v>
      </c>
      <c r="S293" s="10" t="n">
        <v>7.5</v>
      </c>
      <c r="T293" s="14" t="n">
        <f aca="false">ROUND(F293*0.15 + G293*0.08 + H293*0.08 + I293*0.1 + J293*0.08 + M293*0.1 + N293*0.05 + Q293*0.15 + R293*0.12 + S293*0.09, 2)</f>
        <v>7.2</v>
      </c>
    </row>
    <row r="294" customFormat="false" ht="15" hidden="false" customHeight="false" outlineLevel="0" collapsed="false">
      <c r="A294" s="5" t="n">
        <v>291</v>
      </c>
      <c r="B294" s="6" t="s">
        <v>641</v>
      </c>
      <c r="C294" s="6" t="s">
        <v>664</v>
      </c>
      <c r="D294" s="7" t="s">
        <v>665</v>
      </c>
      <c r="E294" s="6" t="s">
        <v>25</v>
      </c>
      <c r="F294" s="5" t="n">
        <v>8.3</v>
      </c>
      <c r="G294" s="5" t="n">
        <v>6</v>
      </c>
      <c r="H294" s="5" t="n">
        <v>6</v>
      </c>
      <c r="I294" s="5" t="n">
        <v>8</v>
      </c>
      <c r="J294" s="5" t="n">
        <v>8</v>
      </c>
      <c r="K294" s="5" t="n">
        <v>5</v>
      </c>
      <c r="L294" s="8" t="n">
        <v>400</v>
      </c>
      <c r="M294" s="5" t="n">
        <v>6</v>
      </c>
      <c r="N294" s="5" t="n">
        <v>8</v>
      </c>
      <c r="O294" s="6" t="s">
        <v>36</v>
      </c>
      <c r="P294" s="6" t="s">
        <v>195</v>
      </c>
      <c r="Q294" s="5" t="n">
        <v>8.5</v>
      </c>
      <c r="R294" s="5" t="n">
        <v>7</v>
      </c>
      <c r="S294" s="5" t="n">
        <v>8.5</v>
      </c>
      <c r="T294" s="9" t="n">
        <f aca="false">ROUND(F294*0.15 + G294*0.08 + H294*0.08 + I294*0.1 + J294*0.08 + M294*0.1 + N294*0.05 + Q294*0.15 + R294*0.12 + S294*0.09, 2)</f>
        <v>7.53</v>
      </c>
    </row>
    <row r="295" customFormat="false" ht="15" hidden="false" customHeight="false" outlineLevel="0" collapsed="false">
      <c r="A295" s="10" t="n">
        <v>292</v>
      </c>
      <c r="B295" s="11" t="s">
        <v>641</v>
      </c>
      <c r="C295" s="11" t="s">
        <v>666</v>
      </c>
      <c r="D295" s="12" t="s">
        <v>667</v>
      </c>
      <c r="E295" s="11" t="s">
        <v>529</v>
      </c>
      <c r="F295" s="10" t="n">
        <v>8</v>
      </c>
      <c r="G295" s="10" t="n">
        <v>5</v>
      </c>
      <c r="H295" s="10" t="n">
        <v>4</v>
      </c>
      <c r="I295" s="10" t="n">
        <v>8</v>
      </c>
      <c r="J295" s="10" t="n">
        <v>7</v>
      </c>
      <c r="K295" s="10" t="n">
        <v>3</v>
      </c>
      <c r="L295" s="13" t="n">
        <v>400</v>
      </c>
      <c r="M295" s="10" t="n">
        <v>6</v>
      </c>
      <c r="N295" s="10" t="n">
        <v>4</v>
      </c>
      <c r="O295" s="11" t="s">
        <v>219</v>
      </c>
      <c r="P295" s="10" t="s">
        <v>668</v>
      </c>
      <c r="Q295" s="10" t="n">
        <v>8</v>
      </c>
      <c r="R295" s="10" t="n">
        <v>7</v>
      </c>
      <c r="S295" s="10" t="n">
        <v>7.5</v>
      </c>
      <c r="T295" s="14" t="n">
        <f aca="false">ROUND(F295*0.15 + G295*0.08 + H295*0.08 + I295*0.1 + J295*0.08 + M295*0.1 + N295*0.05 + Q295*0.15 + R295*0.12 + S295*0.09, 2)</f>
        <v>6.8</v>
      </c>
    </row>
    <row r="296" customFormat="false" ht="15" hidden="false" customHeight="false" outlineLevel="0" collapsed="false">
      <c r="A296" s="5" t="n">
        <v>293</v>
      </c>
      <c r="B296" s="6" t="s">
        <v>669</v>
      </c>
      <c r="C296" s="6" t="s">
        <v>670</v>
      </c>
      <c r="D296" s="7" t="s">
        <v>671</v>
      </c>
      <c r="E296" s="6" t="s">
        <v>25</v>
      </c>
      <c r="F296" s="5" t="n">
        <v>9.5</v>
      </c>
      <c r="G296" s="5" t="n">
        <v>4</v>
      </c>
      <c r="H296" s="5" t="n">
        <v>3</v>
      </c>
      <c r="I296" s="5" t="n">
        <v>9</v>
      </c>
      <c r="J296" s="5" t="n">
        <v>9</v>
      </c>
      <c r="K296" s="5" t="n">
        <v>3</v>
      </c>
      <c r="L296" s="8" t="n">
        <v>800</v>
      </c>
      <c r="M296" s="5" t="n">
        <v>7</v>
      </c>
      <c r="N296" s="5" t="n">
        <v>4</v>
      </c>
      <c r="O296" s="6" t="s">
        <v>61</v>
      </c>
      <c r="P296" s="5" t="s">
        <v>334</v>
      </c>
      <c r="Q296" s="5" t="n">
        <v>10</v>
      </c>
      <c r="R296" s="5" t="n">
        <v>7.5</v>
      </c>
      <c r="S296" s="5" t="n">
        <v>7.5</v>
      </c>
      <c r="T296" s="9" t="n">
        <f aca="false">ROUND(F296*0.15 + G296*0.08 + H296*0.08 + I296*0.1 + J296*0.08 + M296*0.1 + N296*0.05 + Q296*0.15 + R296*0.12 + S296*0.09, 2)</f>
        <v>7.58</v>
      </c>
    </row>
    <row r="297" customFormat="false" ht="15" hidden="false" customHeight="false" outlineLevel="0" collapsed="false">
      <c r="A297" s="10" t="n">
        <v>294</v>
      </c>
      <c r="B297" s="11" t="s">
        <v>669</v>
      </c>
      <c r="C297" s="11" t="s">
        <v>670</v>
      </c>
      <c r="D297" s="12" t="s">
        <v>672</v>
      </c>
      <c r="E297" s="11" t="s">
        <v>92</v>
      </c>
      <c r="F297" s="10" t="n">
        <v>9</v>
      </c>
      <c r="G297" s="10" t="n">
        <v>4</v>
      </c>
      <c r="H297" s="10" t="n">
        <v>4</v>
      </c>
      <c r="I297" s="10" t="n">
        <v>8</v>
      </c>
      <c r="J297" s="10" t="n">
        <v>9</v>
      </c>
      <c r="K297" s="10" t="n">
        <v>2</v>
      </c>
      <c r="L297" s="13" t="n">
        <v>700</v>
      </c>
      <c r="M297" s="10" t="n">
        <v>7</v>
      </c>
      <c r="N297" s="10" t="n">
        <v>5</v>
      </c>
      <c r="O297" s="11" t="s">
        <v>61</v>
      </c>
      <c r="P297" s="10" t="s">
        <v>334</v>
      </c>
      <c r="Q297" s="10" t="n">
        <v>9.5</v>
      </c>
      <c r="R297" s="10" t="n">
        <v>7</v>
      </c>
      <c r="S297" s="10" t="n">
        <v>7.5</v>
      </c>
      <c r="T297" s="14" t="n">
        <f aca="false">ROUND(F297*0.15 + G297*0.08 + H297*0.08 + I297*0.1 + J297*0.08 + M297*0.1 + N297*0.05 + Q297*0.15 + R297*0.12 + S297*0.09, 2)</f>
        <v>7.4</v>
      </c>
    </row>
    <row r="298" customFormat="false" ht="15" hidden="false" customHeight="false" outlineLevel="0" collapsed="false">
      <c r="A298" s="5" t="n">
        <v>295</v>
      </c>
      <c r="B298" s="6" t="s">
        <v>669</v>
      </c>
      <c r="C298" s="6" t="s">
        <v>673</v>
      </c>
      <c r="D298" s="7" t="s">
        <v>674</v>
      </c>
      <c r="E298" s="6" t="s">
        <v>184</v>
      </c>
      <c r="F298" s="5" t="n">
        <v>8.8</v>
      </c>
      <c r="G298" s="5" t="n">
        <v>4</v>
      </c>
      <c r="H298" s="5" t="n">
        <v>3</v>
      </c>
      <c r="I298" s="5" t="n">
        <v>9</v>
      </c>
      <c r="J298" s="5" t="n">
        <v>7</v>
      </c>
      <c r="K298" s="5" t="n">
        <v>5</v>
      </c>
      <c r="L298" s="8" t="n">
        <v>800</v>
      </c>
      <c r="M298" s="5" t="n">
        <v>5</v>
      </c>
      <c r="N298" s="5" t="n">
        <v>3</v>
      </c>
      <c r="O298" s="6" t="s">
        <v>61</v>
      </c>
      <c r="P298" s="5" t="s">
        <v>45</v>
      </c>
      <c r="Q298" s="5" t="n">
        <v>9.5</v>
      </c>
      <c r="R298" s="5" t="n">
        <v>7</v>
      </c>
      <c r="S298" s="5" t="n">
        <v>7</v>
      </c>
      <c r="T298" s="9" t="n">
        <f aca="false">ROUND(F298*0.15 + G298*0.08 + H298*0.08 + I298*0.1 + J298*0.08 + M298*0.1 + N298*0.05 + Q298*0.15 + R298*0.12 + S298*0.09, 2)</f>
        <v>6.89</v>
      </c>
    </row>
    <row r="299" customFormat="false" ht="15" hidden="false" customHeight="false" outlineLevel="0" collapsed="false">
      <c r="A299" s="10" t="n">
        <v>296</v>
      </c>
      <c r="B299" s="11" t="s">
        <v>669</v>
      </c>
      <c r="C299" s="11" t="s">
        <v>675</v>
      </c>
      <c r="D299" s="12" t="s">
        <v>676</v>
      </c>
      <c r="E299" s="11" t="s">
        <v>92</v>
      </c>
      <c r="F299" s="10" t="n">
        <v>8.5</v>
      </c>
      <c r="G299" s="10" t="n">
        <v>4</v>
      </c>
      <c r="H299" s="10" t="n">
        <v>3</v>
      </c>
      <c r="I299" s="10" t="n">
        <v>7</v>
      </c>
      <c r="J299" s="10" t="n">
        <v>8</v>
      </c>
      <c r="K299" s="10" t="n">
        <v>2</v>
      </c>
      <c r="L299" s="13" t="n">
        <v>700</v>
      </c>
      <c r="M299" s="10" t="n">
        <v>5</v>
      </c>
      <c r="N299" s="10" t="n">
        <v>4</v>
      </c>
      <c r="O299" s="11" t="s">
        <v>61</v>
      </c>
      <c r="P299" s="10" t="s">
        <v>64</v>
      </c>
      <c r="Q299" s="10" t="n">
        <v>9</v>
      </c>
      <c r="R299" s="10" t="n">
        <v>6.5</v>
      </c>
      <c r="S299" s="10" t="n">
        <v>7.5</v>
      </c>
      <c r="T299" s="14" t="n">
        <f aca="false">ROUND(F299*0.15 + G299*0.08 + H299*0.08 + I299*0.1 + J299*0.08 + M299*0.1 + N299*0.05 + Q299*0.15 + R299*0.12 + S299*0.09, 2)</f>
        <v>6.68</v>
      </c>
    </row>
    <row r="300" customFormat="false" ht="15" hidden="false" customHeight="false" outlineLevel="0" collapsed="false">
      <c r="A300" s="5" t="n">
        <v>297</v>
      </c>
      <c r="B300" s="6" t="s">
        <v>669</v>
      </c>
      <c r="C300" s="6" t="s">
        <v>673</v>
      </c>
      <c r="D300" s="7" t="s">
        <v>677</v>
      </c>
      <c r="E300" s="6" t="s">
        <v>108</v>
      </c>
      <c r="F300" s="5" t="n">
        <v>9</v>
      </c>
      <c r="G300" s="5" t="n">
        <v>3</v>
      </c>
      <c r="H300" s="5" t="n">
        <v>2</v>
      </c>
      <c r="I300" s="5" t="n">
        <v>8</v>
      </c>
      <c r="J300" s="5" t="n">
        <v>7</v>
      </c>
      <c r="K300" s="5" t="n">
        <v>8</v>
      </c>
      <c r="L300" s="8" t="n">
        <v>1000</v>
      </c>
      <c r="M300" s="5" t="n">
        <v>4</v>
      </c>
      <c r="N300" s="5" t="n">
        <v>3</v>
      </c>
      <c r="O300" s="6" t="s">
        <v>61</v>
      </c>
      <c r="P300" s="5" t="s">
        <v>45</v>
      </c>
      <c r="Q300" s="5" t="n">
        <v>10</v>
      </c>
      <c r="R300" s="5" t="n">
        <v>6</v>
      </c>
      <c r="S300" s="5" t="n">
        <v>6.5</v>
      </c>
      <c r="T300" s="9" t="n">
        <f aca="false">ROUND(F300*0.15 + G300*0.08 + H300*0.08 + I300*0.1 + J300*0.08 + M300*0.1 + N300*0.05 + Q300*0.15 + R300*0.12 + S300*0.09, 2)</f>
        <v>6.47</v>
      </c>
    </row>
    <row r="301" customFormat="false" ht="15" hidden="false" customHeight="false" outlineLevel="0" collapsed="false">
      <c r="A301" s="10" t="n">
        <v>298</v>
      </c>
      <c r="B301" s="11" t="s">
        <v>678</v>
      </c>
      <c r="C301" s="11" t="s">
        <v>679</v>
      </c>
      <c r="D301" s="12" t="s">
        <v>680</v>
      </c>
      <c r="E301" s="11" t="s">
        <v>25</v>
      </c>
      <c r="F301" s="10" t="n">
        <v>9.5</v>
      </c>
      <c r="G301" s="10" t="n">
        <v>7</v>
      </c>
      <c r="H301" s="10" t="n">
        <v>6</v>
      </c>
      <c r="I301" s="10" t="n">
        <v>8</v>
      </c>
      <c r="J301" s="10" t="n">
        <v>9</v>
      </c>
      <c r="K301" s="10" t="n">
        <v>4</v>
      </c>
      <c r="L301" s="13" t="n">
        <v>600</v>
      </c>
      <c r="M301" s="10" t="n">
        <v>9</v>
      </c>
      <c r="N301" s="10" t="n">
        <v>7</v>
      </c>
      <c r="O301" s="11" t="s">
        <v>26</v>
      </c>
      <c r="P301" s="10" t="s">
        <v>198</v>
      </c>
      <c r="Q301" s="10" t="n">
        <v>10</v>
      </c>
      <c r="R301" s="10" t="n">
        <v>9</v>
      </c>
      <c r="S301" s="10" t="n">
        <v>8.5</v>
      </c>
      <c r="T301" s="14" t="n">
        <f aca="false">ROUND(F301*0.15 + G301*0.08 + H301*0.08 + I301*0.1 + J301*0.08 + M301*0.1 + N301*0.05 + Q301*0.15 + R301*0.12 + S301*0.09, 2)</f>
        <v>8.58</v>
      </c>
    </row>
    <row r="302" customFormat="false" ht="15" hidden="false" customHeight="false" outlineLevel="0" collapsed="false">
      <c r="A302" s="5" t="n">
        <v>299</v>
      </c>
      <c r="B302" s="6" t="s">
        <v>678</v>
      </c>
      <c r="C302" s="6" t="s">
        <v>679</v>
      </c>
      <c r="D302" s="7" t="s">
        <v>681</v>
      </c>
      <c r="E302" s="6" t="s">
        <v>25</v>
      </c>
      <c r="F302" s="5" t="n">
        <v>8.8</v>
      </c>
      <c r="G302" s="5" t="n">
        <v>6</v>
      </c>
      <c r="H302" s="5" t="n">
        <v>6</v>
      </c>
      <c r="I302" s="5" t="n">
        <v>9</v>
      </c>
      <c r="J302" s="5" t="n">
        <v>8</v>
      </c>
      <c r="K302" s="5" t="n">
        <v>4</v>
      </c>
      <c r="L302" s="8" t="n">
        <v>600</v>
      </c>
      <c r="M302" s="5" t="n">
        <v>8</v>
      </c>
      <c r="N302" s="5" t="n">
        <v>7</v>
      </c>
      <c r="O302" s="6" t="s">
        <v>26</v>
      </c>
      <c r="P302" s="5" t="s">
        <v>198</v>
      </c>
      <c r="Q302" s="5" t="n">
        <v>9</v>
      </c>
      <c r="R302" s="5" t="n">
        <v>8.5</v>
      </c>
      <c r="S302" s="5" t="n">
        <v>7.5</v>
      </c>
      <c r="T302" s="9" t="n">
        <f aca="false">ROUND(F302*0.15 + G302*0.08 + H302*0.08 + I302*0.1 + J302*0.08 + M302*0.1 + N302*0.05 + Q302*0.15 + R302*0.12 + S302*0.09, 2)</f>
        <v>8.02</v>
      </c>
    </row>
    <row r="303" customFormat="false" ht="15" hidden="false" customHeight="false" outlineLevel="0" collapsed="false">
      <c r="A303" s="10" t="n">
        <v>300</v>
      </c>
      <c r="B303" s="11" t="s">
        <v>678</v>
      </c>
      <c r="C303" s="11" t="s">
        <v>682</v>
      </c>
      <c r="D303" s="12" t="s">
        <v>683</v>
      </c>
      <c r="E303" s="11" t="s">
        <v>57</v>
      </c>
      <c r="F303" s="10" t="n">
        <v>9.3</v>
      </c>
      <c r="G303" s="10" t="n">
        <v>3</v>
      </c>
      <c r="H303" s="10" t="n">
        <v>2</v>
      </c>
      <c r="I303" s="10" t="n">
        <v>8</v>
      </c>
      <c r="J303" s="10" t="n">
        <v>8</v>
      </c>
      <c r="K303" s="10" t="n">
        <v>8</v>
      </c>
      <c r="L303" s="13" t="n">
        <v>600</v>
      </c>
      <c r="M303" s="10" t="n">
        <v>7</v>
      </c>
      <c r="N303" s="10" t="n">
        <v>5</v>
      </c>
      <c r="O303" s="11" t="s">
        <v>26</v>
      </c>
      <c r="P303" s="10" t="s">
        <v>27</v>
      </c>
      <c r="Q303" s="10" t="n">
        <v>9.5</v>
      </c>
      <c r="R303" s="10" t="n">
        <v>8</v>
      </c>
      <c r="S303" s="10" t="n">
        <v>7.5</v>
      </c>
      <c r="T303" s="14" t="n">
        <f aca="false">ROUND(F303*0.15 + G303*0.08 + H303*0.08 + I303*0.1 + J303*0.08 + M303*0.1 + N303*0.05 + Q303*0.15 + R303*0.12 + S303*0.09, 2)</f>
        <v>7.25</v>
      </c>
    </row>
    <row r="304" customFormat="false" ht="15" hidden="false" customHeight="false" outlineLevel="0" collapsed="false">
      <c r="A304" s="5" t="n">
        <v>301</v>
      </c>
      <c r="B304" s="6" t="s">
        <v>678</v>
      </c>
      <c r="C304" s="6" t="s">
        <v>684</v>
      </c>
      <c r="D304" s="7" t="s">
        <v>685</v>
      </c>
      <c r="E304" s="6" t="s">
        <v>74</v>
      </c>
      <c r="F304" s="5" t="n">
        <v>8.8</v>
      </c>
      <c r="G304" s="5" t="n">
        <v>5</v>
      </c>
      <c r="H304" s="5" t="n">
        <v>7</v>
      </c>
      <c r="I304" s="5" t="n">
        <v>6</v>
      </c>
      <c r="J304" s="5" t="n">
        <v>8</v>
      </c>
      <c r="K304" s="5" t="n">
        <v>4</v>
      </c>
      <c r="L304" s="8" t="n">
        <v>400</v>
      </c>
      <c r="M304" s="5" t="n">
        <v>7</v>
      </c>
      <c r="N304" s="5" t="n">
        <v>8</v>
      </c>
      <c r="O304" s="6" t="s">
        <v>36</v>
      </c>
      <c r="P304" s="5" t="s">
        <v>37</v>
      </c>
      <c r="Q304" s="5" t="n">
        <v>9.5</v>
      </c>
      <c r="R304" s="5" t="n">
        <v>8</v>
      </c>
      <c r="S304" s="5" t="n">
        <v>9</v>
      </c>
      <c r="T304" s="9" t="n">
        <f aca="false">ROUND(F304*0.15 + G304*0.08 + H304*0.08 + I304*0.1 + J304*0.08 + M304*0.1 + N304*0.05 + Q304*0.15 + R304*0.12 + S304*0.09, 2)</f>
        <v>7.82</v>
      </c>
    </row>
    <row r="305" customFormat="false" ht="15" hidden="false" customHeight="false" outlineLevel="0" collapsed="false">
      <c r="A305" s="10" t="n">
        <v>302</v>
      </c>
      <c r="B305" s="11" t="s">
        <v>678</v>
      </c>
      <c r="C305" s="11" t="s">
        <v>679</v>
      </c>
      <c r="D305" s="12" t="s">
        <v>686</v>
      </c>
      <c r="E305" s="11" t="s">
        <v>25</v>
      </c>
      <c r="F305" s="10" t="n">
        <v>8.8</v>
      </c>
      <c r="G305" s="10" t="n">
        <v>7</v>
      </c>
      <c r="H305" s="10" t="n">
        <v>7</v>
      </c>
      <c r="I305" s="10" t="n">
        <v>9</v>
      </c>
      <c r="J305" s="10" t="n">
        <v>8</v>
      </c>
      <c r="K305" s="10" t="n">
        <v>5</v>
      </c>
      <c r="L305" s="13" t="n">
        <v>600</v>
      </c>
      <c r="M305" s="10" t="n">
        <v>10</v>
      </c>
      <c r="N305" s="10" t="n">
        <v>8</v>
      </c>
      <c r="O305" s="11" t="s">
        <v>26</v>
      </c>
      <c r="P305" s="10" t="s">
        <v>198</v>
      </c>
      <c r="Q305" s="10" t="n">
        <v>9</v>
      </c>
      <c r="R305" s="10" t="n">
        <v>9</v>
      </c>
      <c r="S305" s="10" t="n">
        <v>8</v>
      </c>
      <c r="T305" s="14" t="n">
        <f aca="false">ROUND(F305*0.15 + G305*0.08 + H305*0.08 + I305*0.1 + J305*0.08 + M305*0.1 + N305*0.05 + Q305*0.15 + R305*0.12 + S305*0.09, 2)</f>
        <v>8.53</v>
      </c>
    </row>
    <row r="306" customFormat="false" ht="15" hidden="false" customHeight="false" outlineLevel="0" collapsed="false">
      <c r="A306" s="5" t="n">
        <v>303</v>
      </c>
      <c r="B306" s="6" t="s">
        <v>678</v>
      </c>
      <c r="C306" s="6" t="s">
        <v>679</v>
      </c>
      <c r="D306" s="7" t="s">
        <v>687</v>
      </c>
      <c r="E306" s="6" t="s">
        <v>25</v>
      </c>
      <c r="F306" s="5" t="n">
        <v>8.8</v>
      </c>
      <c r="G306" s="5" t="n">
        <v>6</v>
      </c>
      <c r="H306" s="5" t="n">
        <v>5</v>
      </c>
      <c r="I306" s="5" t="n">
        <v>8</v>
      </c>
      <c r="J306" s="5" t="n">
        <v>9</v>
      </c>
      <c r="K306" s="5" t="n">
        <v>4</v>
      </c>
      <c r="L306" s="8" t="n">
        <v>550</v>
      </c>
      <c r="M306" s="5" t="n">
        <v>10</v>
      </c>
      <c r="N306" s="5" t="n">
        <v>8</v>
      </c>
      <c r="O306" s="6" t="s">
        <v>26</v>
      </c>
      <c r="P306" s="5" t="s">
        <v>198</v>
      </c>
      <c r="Q306" s="5" t="n">
        <v>9.5</v>
      </c>
      <c r="R306" s="5" t="n">
        <v>9</v>
      </c>
      <c r="S306" s="5" t="n">
        <v>8.5</v>
      </c>
      <c r="T306" s="9" t="n">
        <f aca="false">ROUND(F306*0.15 + G306*0.08 + H306*0.08 + I306*0.1 + J306*0.08 + M306*0.1 + N306*0.05 + Q306*0.15 + R306*0.12 + S306*0.09, 2)</f>
        <v>8.39</v>
      </c>
    </row>
    <row r="307" customFormat="false" ht="15" hidden="false" customHeight="false" outlineLevel="0" collapsed="false">
      <c r="A307" s="10" t="n">
        <v>304</v>
      </c>
      <c r="B307" s="11" t="s">
        <v>678</v>
      </c>
      <c r="C307" s="11" t="s">
        <v>688</v>
      </c>
      <c r="D307" s="12" t="s">
        <v>689</v>
      </c>
      <c r="E307" s="11" t="s">
        <v>57</v>
      </c>
      <c r="F307" s="10" t="n">
        <v>8.5</v>
      </c>
      <c r="G307" s="10" t="n">
        <v>4</v>
      </c>
      <c r="H307" s="10" t="n">
        <v>3</v>
      </c>
      <c r="I307" s="10" t="n">
        <v>7</v>
      </c>
      <c r="J307" s="10" t="n">
        <v>7</v>
      </c>
      <c r="K307" s="10" t="n">
        <v>7</v>
      </c>
      <c r="L307" s="13" t="n">
        <v>500</v>
      </c>
      <c r="M307" s="10" t="n">
        <v>6</v>
      </c>
      <c r="N307" s="10" t="n">
        <v>4</v>
      </c>
      <c r="O307" s="11" t="s">
        <v>61</v>
      </c>
      <c r="P307" s="10" t="s">
        <v>334</v>
      </c>
      <c r="Q307" s="10" t="n">
        <v>8.5</v>
      </c>
      <c r="R307" s="10" t="n">
        <v>7</v>
      </c>
      <c r="S307" s="10" t="n">
        <v>7.5</v>
      </c>
      <c r="T307" s="14" t="n">
        <f aca="false">ROUND(F307*0.15 + G307*0.08 + H307*0.08 + I307*0.1 + J307*0.08 + M307*0.1 + N307*0.05 + Q307*0.15 + R307*0.12 + S307*0.09, 2)</f>
        <v>6.69</v>
      </c>
    </row>
    <row r="308" customFormat="false" ht="15" hidden="false" customHeight="false" outlineLevel="0" collapsed="false">
      <c r="A308" s="5" t="n">
        <v>305</v>
      </c>
      <c r="B308" s="6" t="s">
        <v>678</v>
      </c>
      <c r="C308" s="6" t="s">
        <v>688</v>
      </c>
      <c r="D308" s="7" t="s">
        <v>690</v>
      </c>
      <c r="E308" s="6" t="s">
        <v>92</v>
      </c>
      <c r="F308" s="5" t="n">
        <v>8.5</v>
      </c>
      <c r="G308" s="5" t="n">
        <v>5</v>
      </c>
      <c r="H308" s="5" t="n">
        <v>6</v>
      </c>
      <c r="I308" s="5" t="n">
        <v>7</v>
      </c>
      <c r="J308" s="5" t="n">
        <v>7</v>
      </c>
      <c r="K308" s="5" t="n">
        <v>3</v>
      </c>
      <c r="L308" s="8" t="n">
        <v>400</v>
      </c>
      <c r="M308" s="5" t="n">
        <v>7</v>
      </c>
      <c r="N308" s="5" t="n">
        <v>7</v>
      </c>
      <c r="O308" s="6" t="s">
        <v>26</v>
      </c>
      <c r="P308" s="5" t="s">
        <v>198</v>
      </c>
      <c r="Q308" s="5" t="n">
        <v>8.5</v>
      </c>
      <c r="R308" s="5" t="n">
        <v>8</v>
      </c>
      <c r="S308" s="5" t="n">
        <v>8</v>
      </c>
      <c r="T308" s="9" t="n">
        <f aca="false">ROUND(F308*0.15 + G308*0.08 + H308*0.08 + I308*0.1 + J308*0.08 + M308*0.1 + N308*0.05 + Q308*0.15 + R308*0.12 + S308*0.09, 2)</f>
        <v>7.42</v>
      </c>
    </row>
    <row r="309" customFormat="false" ht="15" hidden="false" customHeight="false" outlineLevel="0" collapsed="false">
      <c r="A309" s="10" t="n">
        <v>306</v>
      </c>
      <c r="B309" s="11" t="s">
        <v>678</v>
      </c>
      <c r="C309" s="11" t="s">
        <v>691</v>
      </c>
      <c r="D309" s="12" t="s">
        <v>692</v>
      </c>
      <c r="E309" s="11" t="s">
        <v>108</v>
      </c>
      <c r="F309" s="10" t="n">
        <v>8.5</v>
      </c>
      <c r="G309" s="10" t="n">
        <v>5</v>
      </c>
      <c r="H309" s="10" t="n">
        <v>4</v>
      </c>
      <c r="I309" s="10" t="n">
        <v>7</v>
      </c>
      <c r="J309" s="10" t="n">
        <v>7</v>
      </c>
      <c r="K309" s="10" t="n">
        <v>5</v>
      </c>
      <c r="L309" s="13" t="n">
        <v>400</v>
      </c>
      <c r="M309" s="10" t="n">
        <v>5</v>
      </c>
      <c r="N309" s="10" t="n">
        <v>6</v>
      </c>
      <c r="O309" s="11" t="s">
        <v>61</v>
      </c>
      <c r="P309" s="10" t="s">
        <v>45</v>
      </c>
      <c r="Q309" s="10" t="n">
        <v>8</v>
      </c>
      <c r="R309" s="10" t="n">
        <v>7</v>
      </c>
      <c r="S309" s="10" t="n">
        <v>7.5</v>
      </c>
      <c r="T309" s="14" t="n">
        <f aca="false">ROUND(F309*0.15 + G309*0.08 + H309*0.08 + I309*0.1 + J309*0.08 + M309*0.1 + N309*0.05 + Q309*0.15 + R309*0.12 + S309*0.09, 2)</f>
        <v>6.77</v>
      </c>
    </row>
    <row r="310" customFormat="false" ht="15" hidden="false" customHeight="false" outlineLevel="0" collapsed="false">
      <c r="A310" s="5" t="n">
        <v>307</v>
      </c>
      <c r="B310" s="6" t="s">
        <v>678</v>
      </c>
      <c r="C310" s="6" t="s">
        <v>693</v>
      </c>
      <c r="D310" s="7" t="s">
        <v>694</v>
      </c>
      <c r="E310" s="6" t="s">
        <v>25</v>
      </c>
      <c r="F310" s="5" t="n">
        <v>8</v>
      </c>
      <c r="G310" s="5" t="n">
        <v>6</v>
      </c>
      <c r="H310" s="5" t="n">
        <v>6</v>
      </c>
      <c r="I310" s="5" t="n">
        <v>7</v>
      </c>
      <c r="J310" s="5" t="n">
        <v>7</v>
      </c>
      <c r="K310" s="5" t="n">
        <v>4</v>
      </c>
      <c r="L310" s="8" t="n">
        <v>350</v>
      </c>
      <c r="M310" s="5" t="n">
        <v>7</v>
      </c>
      <c r="N310" s="5" t="n">
        <v>7</v>
      </c>
      <c r="O310" s="6" t="s">
        <v>26</v>
      </c>
      <c r="P310" s="5" t="s">
        <v>198</v>
      </c>
      <c r="Q310" s="5" t="n">
        <v>8</v>
      </c>
      <c r="R310" s="5" t="n">
        <v>7</v>
      </c>
      <c r="S310" s="5" t="n">
        <v>8</v>
      </c>
      <c r="T310" s="9" t="n">
        <f aca="false">ROUND(F310*0.15 + G310*0.08 + H310*0.08 + I310*0.1 + J310*0.08 + M310*0.1 + N310*0.05 + Q310*0.15 + R310*0.12 + S310*0.09, 2)</f>
        <v>7.23</v>
      </c>
    </row>
    <row r="311" customFormat="false" ht="15" hidden="false" customHeight="false" outlineLevel="0" collapsed="false">
      <c r="A311" s="10" t="n">
        <v>308</v>
      </c>
      <c r="B311" s="11" t="s">
        <v>678</v>
      </c>
      <c r="C311" s="11" t="s">
        <v>695</v>
      </c>
      <c r="D311" s="12" t="s">
        <v>696</v>
      </c>
      <c r="E311" s="11" t="s">
        <v>25</v>
      </c>
      <c r="F311" s="10" t="n">
        <v>8.3</v>
      </c>
      <c r="G311" s="10" t="n">
        <v>5</v>
      </c>
      <c r="H311" s="10" t="n">
        <v>6</v>
      </c>
      <c r="I311" s="10" t="n">
        <v>7</v>
      </c>
      <c r="J311" s="10" t="n">
        <v>7</v>
      </c>
      <c r="K311" s="10" t="n">
        <v>2</v>
      </c>
      <c r="L311" s="13" t="n">
        <v>350</v>
      </c>
      <c r="M311" s="10" t="n">
        <v>6</v>
      </c>
      <c r="N311" s="10" t="n">
        <v>7</v>
      </c>
      <c r="O311" s="11" t="s">
        <v>26</v>
      </c>
      <c r="P311" s="10" t="s">
        <v>27</v>
      </c>
      <c r="Q311" s="10" t="n">
        <v>9</v>
      </c>
      <c r="R311" s="10" t="n">
        <v>7</v>
      </c>
      <c r="S311" s="10" t="n">
        <v>8</v>
      </c>
      <c r="T311" s="14" t="n">
        <f aca="false">ROUND(F311*0.15 + G311*0.08 + H311*0.08 + I311*0.1 + J311*0.08 + M311*0.1 + N311*0.05 + Q311*0.15 + R311*0.12 + S311*0.09, 2)</f>
        <v>7.25</v>
      </c>
    </row>
    <row r="312" customFormat="false" ht="15" hidden="false" customHeight="false" outlineLevel="0" collapsed="false">
      <c r="A312" s="5" t="n">
        <v>309</v>
      </c>
      <c r="B312" s="6" t="s">
        <v>678</v>
      </c>
      <c r="C312" s="6" t="s">
        <v>697</v>
      </c>
      <c r="D312" s="7" t="s">
        <v>698</v>
      </c>
      <c r="E312" s="6" t="s">
        <v>699</v>
      </c>
      <c r="F312" s="5" t="n">
        <v>8</v>
      </c>
      <c r="G312" s="5" t="n">
        <v>5</v>
      </c>
      <c r="H312" s="5" t="n">
        <v>4</v>
      </c>
      <c r="I312" s="5" t="n">
        <v>6</v>
      </c>
      <c r="J312" s="5" t="n">
        <v>7</v>
      </c>
      <c r="K312" s="5" t="n">
        <v>4</v>
      </c>
      <c r="L312" s="8" t="n">
        <v>350</v>
      </c>
      <c r="M312" s="5" t="n">
        <v>6</v>
      </c>
      <c r="N312" s="5" t="n">
        <v>6</v>
      </c>
      <c r="O312" s="6" t="s">
        <v>122</v>
      </c>
      <c r="P312" s="5" t="s">
        <v>123</v>
      </c>
      <c r="Q312" s="5" t="n">
        <v>7.5</v>
      </c>
      <c r="R312" s="5" t="n">
        <v>7</v>
      </c>
      <c r="S312" s="5" t="n">
        <v>8</v>
      </c>
      <c r="T312" s="9" t="n">
        <f aca="false">ROUND(F312*0.15 + G312*0.08 + H312*0.08 + I312*0.1 + J312*0.08 + M312*0.1 + N312*0.05 + Q312*0.15 + R312*0.12 + S312*0.09, 2)</f>
        <v>6.67</v>
      </c>
    </row>
    <row r="313" customFormat="false" ht="15" hidden="false" customHeight="false" outlineLevel="0" collapsed="false">
      <c r="A313" s="10" t="n">
        <v>310</v>
      </c>
      <c r="B313" s="11" t="s">
        <v>700</v>
      </c>
      <c r="C313" s="11" t="s">
        <v>701</v>
      </c>
      <c r="D313" s="12" t="s">
        <v>702</v>
      </c>
      <c r="E313" s="11" t="s">
        <v>703</v>
      </c>
      <c r="F313" s="10" t="n">
        <v>9.2</v>
      </c>
      <c r="G313" s="10" t="n">
        <v>6</v>
      </c>
      <c r="H313" s="10" t="n">
        <v>4</v>
      </c>
      <c r="I313" s="10" t="n">
        <v>9</v>
      </c>
      <c r="J313" s="10" t="n">
        <v>8</v>
      </c>
      <c r="K313" s="10" t="n">
        <v>4</v>
      </c>
      <c r="L313" s="13" t="n">
        <v>600</v>
      </c>
      <c r="M313" s="10" t="n">
        <v>6</v>
      </c>
      <c r="N313" s="10" t="n">
        <v>4</v>
      </c>
      <c r="O313" s="11" t="s">
        <v>26</v>
      </c>
      <c r="P313" s="10" t="s">
        <v>119</v>
      </c>
      <c r="Q313" s="10" t="n">
        <v>9.5</v>
      </c>
      <c r="R313" s="10" t="n">
        <v>8</v>
      </c>
      <c r="S313" s="10" t="n">
        <v>7.5</v>
      </c>
      <c r="T313" s="14" t="n">
        <f aca="false">ROUND(F313*0.15 + G313*0.08 + H313*0.08 + I313*0.1 + J313*0.08 + M313*0.1 + N313*0.05 + Q313*0.15 + R313*0.12 + S313*0.09, 2)</f>
        <v>7.58</v>
      </c>
    </row>
    <row r="314" customFormat="false" ht="15" hidden="false" customHeight="false" outlineLevel="0" collapsed="false">
      <c r="A314" s="5" t="n">
        <v>311</v>
      </c>
      <c r="B314" s="6" t="s">
        <v>700</v>
      </c>
      <c r="C314" s="6" t="s">
        <v>701</v>
      </c>
      <c r="D314" s="7" t="s">
        <v>704</v>
      </c>
      <c r="E314" s="6" t="s">
        <v>25</v>
      </c>
      <c r="F314" s="5" t="n">
        <v>9.5</v>
      </c>
      <c r="G314" s="5" t="n">
        <v>6</v>
      </c>
      <c r="H314" s="5" t="n">
        <v>5</v>
      </c>
      <c r="I314" s="5" t="n">
        <v>9</v>
      </c>
      <c r="J314" s="5" t="n">
        <v>9</v>
      </c>
      <c r="K314" s="5" t="n">
        <v>3</v>
      </c>
      <c r="L314" s="8" t="n">
        <v>600</v>
      </c>
      <c r="M314" s="5" t="n">
        <v>6</v>
      </c>
      <c r="N314" s="5" t="n">
        <v>5</v>
      </c>
      <c r="O314" s="6" t="s">
        <v>26</v>
      </c>
      <c r="P314" s="5" t="s">
        <v>119</v>
      </c>
      <c r="Q314" s="5" t="n">
        <v>10</v>
      </c>
      <c r="R314" s="5" t="n">
        <v>8</v>
      </c>
      <c r="S314" s="5" t="n">
        <v>8</v>
      </c>
      <c r="T314" s="9" t="n">
        <f aca="false">ROUND(F314*0.15 + G314*0.08 + H314*0.08 + I314*0.1 + J314*0.08 + M314*0.1 + N314*0.05 + Q314*0.15 + R314*0.12 + S314*0.09, 2)</f>
        <v>7.96</v>
      </c>
    </row>
    <row r="315" customFormat="false" ht="15" hidden="false" customHeight="false" outlineLevel="0" collapsed="false">
      <c r="A315" s="10" t="n">
        <v>312</v>
      </c>
      <c r="B315" s="11" t="s">
        <v>700</v>
      </c>
      <c r="C315" s="11" t="s">
        <v>705</v>
      </c>
      <c r="D315" s="12" t="s">
        <v>706</v>
      </c>
      <c r="E315" s="11" t="s">
        <v>25</v>
      </c>
      <c r="F315" s="10" t="n">
        <v>8.5</v>
      </c>
      <c r="G315" s="10" t="n">
        <v>6</v>
      </c>
      <c r="H315" s="10" t="n">
        <v>5</v>
      </c>
      <c r="I315" s="10" t="n">
        <v>8</v>
      </c>
      <c r="J315" s="10" t="n">
        <v>8</v>
      </c>
      <c r="K315" s="10" t="n">
        <v>3</v>
      </c>
      <c r="L315" s="13" t="n">
        <v>500</v>
      </c>
      <c r="M315" s="10" t="n">
        <v>6</v>
      </c>
      <c r="N315" s="10" t="n">
        <v>5</v>
      </c>
      <c r="O315" s="11" t="s">
        <v>26</v>
      </c>
      <c r="P315" s="10" t="s">
        <v>119</v>
      </c>
      <c r="Q315" s="10" t="n">
        <v>9</v>
      </c>
      <c r="R315" s="10" t="n">
        <v>7.5</v>
      </c>
      <c r="S315" s="10" t="n">
        <v>7.5</v>
      </c>
      <c r="T315" s="14" t="n">
        <f aca="false">ROUND(F315*0.15 + G315*0.08 + H315*0.08 + I315*0.1 + J315*0.08 + M315*0.1 + N315*0.05 + Q315*0.15 + R315*0.12 + S315*0.09, 2)</f>
        <v>7.37</v>
      </c>
    </row>
    <row r="316" customFormat="false" ht="15" hidden="false" customHeight="false" outlineLevel="0" collapsed="false">
      <c r="A316" s="5" t="n">
        <v>313</v>
      </c>
      <c r="B316" s="6" t="s">
        <v>700</v>
      </c>
      <c r="C316" s="6" t="s">
        <v>707</v>
      </c>
      <c r="D316" s="7" t="s">
        <v>708</v>
      </c>
      <c r="E316" s="6" t="s">
        <v>25</v>
      </c>
      <c r="F316" s="5" t="n">
        <v>8.8</v>
      </c>
      <c r="G316" s="5" t="n">
        <v>5</v>
      </c>
      <c r="H316" s="5" t="n">
        <v>4</v>
      </c>
      <c r="I316" s="5" t="n">
        <v>8</v>
      </c>
      <c r="J316" s="5" t="n">
        <v>8</v>
      </c>
      <c r="K316" s="5" t="n">
        <v>3</v>
      </c>
      <c r="L316" s="8" t="n">
        <v>400</v>
      </c>
      <c r="M316" s="5" t="n">
        <v>6</v>
      </c>
      <c r="N316" s="5" t="n">
        <v>6</v>
      </c>
      <c r="O316" s="6" t="s">
        <v>26</v>
      </c>
      <c r="P316" s="5" t="s">
        <v>27</v>
      </c>
      <c r="Q316" s="5" t="n">
        <v>9.5</v>
      </c>
      <c r="R316" s="5" t="n">
        <v>7</v>
      </c>
      <c r="S316" s="5" t="n">
        <v>8</v>
      </c>
      <c r="T316" s="9" t="n">
        <f aca="false">ROUND(F316*0.15 + G316*0.08 + H316*0.08 + I316*0.1 + J316*0.08 + M316*0.1 + N316*0.05 + Q316*0.15 + R316*0.12 + S316*0.09, 2)</f>
        <v>7.37</v>
      </c>
    </row>
    <row r="317" customFormat="false" ht="15" hidden="false" customHeight="false" outlineLevel="0" collapsed="false">
      <c r="A317" s="10" t="n">
        <v>314</v>
      </c>
      <c r="B317" s="11" t="s">
        <v>700</v>
      </c>
      <c r="C317" s="11" t="s">
        <v>709</v>
      </c>
      <c r="D317" s="12" t="s">
        <v>710</v>
      </c>
      <c r="E317" s="11" t="s">
        <v>352</v>
      </c>
      <c r="F317" s="10" t="n">
        <v>8.3</v>
      </c>
      <c r="G317" s="10" t="n">
        <v>5</v>
      </c>
      <c r="H317" s="10" t="n">
        <v>4</v>
      </c>
      <c r="I317" s="10" t="n">
        <v>7</v>
      </c>
      <c r="J317" s="10" t="n">
        <v>7</v>
      </c>
      <c r="K317" s="10" t="n">
        <v>5</v>
      </c>
      <c r="L317" s="13" t="n">
        <v>400</v>
      </c>
      <c r="M317" s="10" t="n">
        <v>6</v>
      </c>
      <c r="N317" s="10" t="n">
        <v>6</v>
      </c>
      <c r="O317" s="11" t="s">
        <v>61</v>
      </c>
      <c r="P317" s="10" t="s">
        <v>45</v>
      </c>
      <c r="Q317" s="10" t="n">
        <v>8</v>
      </c>
      <c r="R317" s="10" t="n">
        <v>7</v>
      </c>
      <c r="S317" s="10" t="n">
        <v>7.5</v>
      </c>
      <c r="T317" s="14" t="n">
        <f aca="false">ROUND(F317*0.15 + G317*0.08 + H317*0.08 + I317*0.1 + J317*0.08 + M317*0.1 + N317*0.05 + Q317*0.15 + R317*0.12 + S317*0.09, 2)</f>
        <v>6.84</v>
      </c>
    </row>
    <row r="318" customFormat="false" ht="15" hidden="false" customHeight="false" outlineLevel="0" collapsed="false">
      <c r="A318" s="5" t="n">
        <v>315</v>
      </c>
      <c r="B318" s="6" t="s">
        <v>700</v>
      </c>
      <c r="C318" s="6" t="s">
        <v>711</v>
      </c>
      <c r="D318" s="7" t="s">
        <v>712</v>
      </c>
      <c r="E318" s="6" t="s">
        <v>116</v>
      </c>
      <c r="F318" s="5" t="n">
        <v>9</v>
      </c>
      <c r="G318" s="5" t="n">
        <v>6</v>
      </c>
      <c r="H318" s="5" t="n">
        <v>5</v>
      </c>
      <c r="I318" s="5" t="n">
        <v>9</v>
      </c>
      <c r="J318" s="5" t="n">
        <v>8</v>
      </c>
      <c r="K318" s="5" t="n">
        <v>3</v>
      </c>
      <c r="L318" s="8" t="n">
        <v>500</v>
      </c>
      <c r="M318" s="5" t="n">
        <v>6</v>
      </c>
      <c r="N318" s="5" t="n">
        <v>4</v>
      </c>
      <c r="O318" s="6" t="s">
        <v>61</v>
      </c>
      <c r="P318" s="5" t="s">
        <v>64</v>
      </c>
      <c r="Q318" s="5" t="n">
        <v>9.5</v>
      </c>
      <c r="R318" s="5" t="n">
        <v>7.5</v>
      </c>
      <c r="S318" s="5" t="n">
        <v>7.5</v>
      </c>
      <c r="T318" s="9" t="n">
        <f aca="false">ROUND(F318*0.15 + G318*0.08 + H318*0.08 + I318*0.1 + J318*0.08 + M318*0.1 + N318*0.05 + Q318*0.15 + R318*0.12 + S318*0.09, 2)</f>
        <v>7.57</v>
      </c>
    </row>
    <row r="319" customFormat="false" ht="15" hidden="false" customHeight="false" outlineLevel="0" collapsed="false">
      <c r="A319" s="10" t="n">
        <v>316</v>
      </c>
      <c r="B319" s="11" t="s">
        <v>700</v>
      </c>
      <c r="C319" s="11" t="s">
        <v>713</v>
      </c>
      <c r="D319" s="12" t="s">
        <v>714</v>
      </c>
      <c r="E319" s="11" t="s">
        <v>71</v>
      </c>
      <c r="F319" s="10" t="n">
        <v>8.2</v>
      </c>
      <c r="G319" s="10" t="n">
        <v>5</v>
      </c>
      <c r="H319" s="10" t="n">
        <v>4</v>
      </c>
      <c r="I319" s="10" t="n">
        <v>7</v>
      </c>
      <c r="J319" s="10" t="n">
        <v>7</v>
      </c>
      <c r="K319" s="10" t="n">
        <v>5</v>
      </c>
      <c r="L319" s="13" t="n">
        <v>400</v>
      </c>
      <c r="M319" s="10" t="n">
        <v>5</v>
      </c>
      <c r="N319" s="10" t="n">
        <v>5</v>
      </c>
      <c r="O319" s="11" t="s">
        <v>61</v>
      </c>
      <c r="P319" s="10" t="s">
        <v>45</v>
      </c>
      <c r="Q319" s="10" t="n">
        <v>7.5</v>
      </c>
      <c r="R319" s="10" t="n">
        <v>6.5</v>
      </c>
      <c r="S319" s="10" t="n">
        <v>7.5</v>
      </c>
      <c r="T319" s="14" t="n">
        <f aca="false">ROUND(F319*0.15 + G319*0.08 + H319*0.08 + I319*0.1 + J319*0.08 + M319*0.1 + N319*0.05 + Q319*0.15 + R319*0.12 + S319*0.09, 2)</f>
        <v>6.54</v>
      </c>
    </row>
    <row r="320" customFormat="false" ht="15" hidden="false" customHeight="false" outlineLevel="0" collapsed="false">
      <c r="A320" s="5" t="n">
        <v>317</v>
      </c>
      <c r="B320" s="6" t="s">
        <v>715</v>
      </c>
      <c r="C320" s="6" t="s">
        <v>716</v>
      </c>
      <c r="D320" s="7" t="s">
        <v>717</v>
      </c>
      <c r="E320" s="6" t="s">
        <v>92</v>
      </c>
      <c r="F320" s="5" t="n">
        <v>8.5</v>
      </c>
      <c r="G320" s="5" t="n">
        <v>5</v>
      </c>
      <c r="H320" s="5" t="n">
        <v>4</v>
      </c>
      <c r="I320" s="5" t="n">
        <v>7</v>
      </c>
      <c r="J320" s="5" t="n">
        <v>8</v>
      </c>
      <c r="K320" s="5" t="n">
        <v>3</v>
      </c>
      <c r="L320" s="8" t="n">
        <v>500</v>
      </c>
      <c r="M320" s="5" t="n">
        <v>7</v>
      </c>
      <c r="N320" s="5" t="n">
        <v>5</v>
      </c>
      <c r="O320" s="6" t="s">
        <v>61</v>
      </c>
      <c r="P320" s="5" t="s">
        <v>45</v>
      </c>
      <c r="Q320" s="5" t="n">
        <v>9</v>
      </c>
      <c r="R320" s="5" t="n">
        <v>7.5</v>
      </c>
      <c r="S320" s="5" t="n">
        <v>7.5</v>
      </c>
      <c r="T320" s="9" t="n">
        <f aca="false">ROUND(F320*0.15 + G320*0.08 + H320*0.08 + I320*0.1 + J320*0.08 + M320*0.1 + N320*0.05 + Q320*0.15 + R320*0.12 + S320*0.09, 2)</f>
        <v>7.21</v>
      </c>
    </row>
    <row r="321" customFormat="false" ht="15" hidden="false" customHeight="false" outlineLevel="0" collapsed="false">
      <c r="A321" s="10" t="n">
        <v>318</v>
      </c>
      <c r="B321" s="11" t="s">
        <v>715</v>
      </c>
      <c r="C321" s="11" t="s">
        <v>718</v>
      </c>
      <c r="D321" s="12" t="s">
        <v>719</v>
      </c>
      <c r="E321" s="11" t="s">
        <v>184</v>
      </c>
      <c r="F321" s="10" t="n">
        <v>9.2</v>
      </c>
      <c r="G321" s="10" t="n">
        <v>5</v>
      </c>
      <c r="H321" s="10" t="n">
        <v>4</v>
      </c>
      <c r="I321" s="10" t="n">
        <v>9</v>
      </c>
      <c r="J321" s="10" t="n">
        <v>8</v>
      </c>
      <c r="K321" s="10" t="n">
        <v>5</v>
      </c>
      <c r="L321" s="13" t="n">
        <v>600</v>
      </c>
      <c r="M321" s="10" t="n">
        <v>5</v>
      </c>
      <c r="N321" s="10" t="n">
        <v>3</v>
      </c>
      <c r="O321" s="11" t="s">
        <v>68</v>
      </c>
      <c r="P321" s="10" t="s">
        <v>720</v>
      </c>
      <c r="Q321" s="10" t="n">
        <v>10</v>
      </c>
      <c r="R321" s="10" t="n">
        <v>7</v>
      </c>
      <c r="S321" s="10" t="n">
        <v>7</v>
      </c>
      <c r="T321" s="14" t="n">
        <f aca="false">ROUND(F321*0.15 + G321*0.08 + H321*0.08 + I321*0.1 + J321*0.08 + M321*0.1 + N321*0.05 + Q321*0.15 + R321*0.12 + S321*0.09, 2)</f>
        <v>7.26</v>
      </c>
    </row>
    <row r="322" customFormat="false" ht="15" hidden="false" customHeight="false" outlineLevel="0" collapsed="false">
      <c r="A322" s="5" t="n">
        <v>319</v>
      </c>
      <c r="B322" s="6" t="s">
        <v>715</v>
      </c>
      <c r="C322" s="6" t="s">
        <v>721</v>
      </c>
      <c r="D322" s="7" t="s">
        <v>722</v>
      </c>
      <c r="E322" s="6" t="s">
        <v>611</v>
      </c>
      <c r="F322" s="5" t="n">
        <v>7.8</v>
      </c>
      <c r="G322" s="5" t="n">
        <v>6</v>
      </c>
      <c r="H322" s="5" t="n">
        <v>5</v>
      </c>
      <c r="I322" s="5" t="n">
        <v>6</v>
      </c>
      <c r="J322" s="5" t="n">
        <v>6</v>
      </c>
      <c r="K322" s="5" t="n">
        <v>3</v>
      </c>
      <c r="L322" s="8" t="n">
        <v>350</v>
      </c>
      <c r="M322" s="5" t="n">
        <v>6</v>
      </c>
      <c r="N322" s="5" t="n">
        <v>5</v>
      </c>
      <c r="O322" s="6" t="s">
        <v>61</v>
      </c>
      <c r="P322" s="5" t="s">
        <v>64</v>
      </c>
      <c r="Q322" s="5" t="n">
        <v>7.5</v>
      </c>
      <c r="R322" s="5" t="n">
        <v>7</v>
      </c>
      <c r="S322" s="5" t="n">
        <v>7.5</v>
      </c>
      <c r="T322" s="9" t="n">
        <f aca="false">ROUND(F322*0.15 + G322*0.08 + H322*0.08 + I322*0.1 + J322*0.08 + M322*0.1 + N322*0.05 + Q322*0.15 + R322*0.12 + S322*0.09, 2)</f>
        <v>6.62</v>
      </c>
    </row>
    <row r="323" customFormat="false" ht="15" hidden="false" customHeight="false" outlineLevel="0" collapsed="false">
      <c r="A323" s="10" t="n">
        <v>320</v>
      </c>
      <c r="B323" s="11" t="s">
        <v>715</v>
      </c>
      <c r="C323" s="11" t="s">
        <v>723</v>
      </c>
      <c r="D323" s="12" t="s">
        <v>724</v>
      </c>
      <c r="E323" s="11" t="s">
        <v>725</v>
      </c>
      <c r="F323" s="10" t="n">
        <v>9</v>
      </c>
      <c r="G323" s="10" t="n">
        <v>5</v>
      </c>
      <c r="H323" s="10" t="n">
        <v>4</v>
      </c>
      <c r="I323" s="10" t="n">
        <v>9</v>
      </c>
      <c r="J323" s="10" t="n">
        <v>8</v>
      </c>
      <c r="K323" s="10" t="n">
        <v>3</v>
      </c>
      <c r="L323" s="13" t="n">
        <v>500</v>
      </c>
      <c r="M323" s="10" t="n">
        <v>5</v>
      </c>
      <c r="N323" s="10" t="n">
        <v>3</v>
      </c>
      <c r="O323" s="11" t="s">
        <v>68</v>
      </c>
      <c r="P323" s="10" t="s">
        <v>69</v>
      </c>
      <c r="Q323" s="10" t="n">
        <v>9</v>
      </c>
      <c r="R323" s="10" t="n">
        <v>7</v>
      </c>
      <c r="S323" s="10" t="n">
        <v>7</v>
      </c>
      <c r="T323" s="14" t="n">
        <f aca="false">ROUND(F323*0.15 + G323*0.08 + H323*0.08 + I323*0.1 + J323*0.08 + M323*0.1 + N323*0.05 + Q323*0.15 + R323*0.12 + S323*0.09, 2)</f>
        <v>7.08</v>
      </c>
    </row>
    <row r="324" customFormat="false" ht="15" hidden="false" customHeight="false" outlineLevel="0" collapsed="false">
      <c r="A324" s="5" t="n">
        <v>321</v>
      </c>
      <c r="B324" s="6" t="s">
        <v>726</v>
      </c>
      <c r="C324" s="6" t="s">
        <v>727</v>
      </c>
      <c r="D324" s="7" t="s">
        <v>728</v>
      </c>
      <c r="E324" s="6" t="s">
        <v>47</v>
      </c>
      <c r="F324" s="5" t="n">
        <v>8.3</v>
      </c>
      <c r="G324" s="5" t="n">
        <v>6</v>
      </c>
      <c r="H324" s="5" t="n">
        <v>5</v>
      </c>
      <c r="I324" s="5" t="n">
        <v>7</v>
      </c>
      <c r="J324" s="5" t="n">
        <v>7</v>
      </c>
      <c r="K324" s="5" t="n">
        <v>3</v>
      </c>
      <c r="L324" s="8" t="n">
        <v>350</v>
      </c>
      <c r="M324" s="5" t="n">
        <v>7</v>
      </c>
      <c r="N324" s="5" t="n">
        <v>6</v>
      </c>
      <c r="O324" s="6" t="s">
        <v>61</v>
      </c>
      <c r="P324" s="5" t="s">
        <v>45</v>
      </c>
      <c r="Q324" s="5" t="n">
        <v>8</v>
      </c>
      <c r="R324" s="5" t="n">
        <v>7.5</v>
      </c>
      <c r="S324" s="5" t="n">
        <v>8</v>
      </c>
      <c r="T324" s="9" t="n">
        <f aca="false">ROUND(F324*0.15 + G324*0.08 + H324*0.08 + I324*0.1 + J324*0.08 + M324*0.1 + N324*0.05 + Q324*0.15 + R324*0.12 + S324*0.09, 2)</f>
        <v>7.21</v>
      </c>
    </row>
    <row r="325" customFormat="false" ht="15" hidden="false" customHeight="false" outlineLevel="0" collapsed="false">
      <c r="A325" s="10" t="n">
        <v>322</v>
      </c>
      <c r="B325" s="11" t="s">
        <v>726</v>
      </c>
      <c r="C325" s="11" t="s">
        <v>727</v>
      </c>
      <c r="D325" s="12" t="s">
        <v>729</v>
      </c>
      <c r="E325" s="11" t="s">
        <v>161</v>
      </c>
      <c r="F325" s="10" t="n">
        <v>8</v>
      </c>
      <c r="G325" s="10" t="n">
        <v>7</v>
      </c>
      <c r="H325" s="10" t="n">
        <v>6</v>
      </c>
      <c r="I325" s="10" t="n">
        <v>7</v>
      </c>
      <c r="J325" s="10" t="n">
        <v>7</v>
      </c>
      <c r="K325" s="10" t="n">
        <v>3</v>
      </c>
      <c r="L325" s="13" t="n">
        <v>350</v>
      </c>
      <c r="M325" s="10" t="n">
        <v>7</v>
      </c>
      <c r="N325" s="10" t="n">
        <v>6</v>
      </c>
      <c r="O325" s="11" t="s">
        <v>61</v>
      </c>
      <c r="P325" s="10" t="s">
        <v>45</v>
      </c>
      <c r="Q325" s="10" t="n">
        <v>7</v>
      </c>
      <c r="R325" s="10" t="n">
        <v>7.5</v>
      </c>
      <c r="S325" s="10" t="n">
        <v>8</v>
      </c>
      <c r="T325" s="14" t="n">
        <f aca="false">ROUND(F325*0.15 + G325*0.08 + H325*0.08 + I325*0.1 + J325*0.08 + M325*0.1 + N325*0.05 + Q325*0.15 + R325*0.12 + S325*0.09, 2)</f>
        <v>7.17</v>
      </c>
    </row>
    <row r="326" customFormat="false" ht="15" hidden="false" customHeight="false" outlineLevel="0" collapsed="false">
      <c r="A326" s="5" t="n">
        <v>323</v>
      </c>
      <c r="B326" s="6" t="s">
        <v>726</v>
      </c>
      <c r="C326" s="6" t="s">
        <v>730</v>
      </c>
      <c r="D326" s="7" t="s">
        <v>731</v>
      </c>
      <c r="E326" s="6" t="s">
        <v>732</v>
      </c>
      <c r="F326" s="5" t="n">
        <v>8.5</v>
      </c>
      <c r="G326" s="5" t="n">
        <v>7</v>
      </c>
      <c r="H326" s="5" t="n">
        <v>4</v>
      </c>
      <c r="I326" s="5" t="n">
        <v>8</v>
      </c>
      <c r="J326" s="5" t="n">
        <v>7</v>
      </c>
      <c r="K326" s="5" t="n">
        <v>5</v>
      </c>
      <c r="L326" s="8" t="n">
        <v>500</v>
      </c>
      <c r="M326" s="5" t="n">
        <v>6</v>
      </c>
      <c r="N326" s="5" t="n">
        <v>4</v>
      </c>
      <c r="O326" s="6" t="s">
        <v>61</v>
      </c>
      <c r="P326" s="5" t="s">
        <v>45</v>
      </c>
      <c r="Q326" s="5" t="n">
        <v>8.5</v>
      </c>
      <c r="R326" s="5" t="n">
        <v>7.5</v>
      </c>
      <c r="S326" s="5" t="n">
        <v>7.5</v>
      </c>
      <c r="T326" s="9" t="n">
        <f aca="false">ROUND(F326*0.15 + G326*0.08 + H326*0.08 + I326*0.1 + J326*0.08 + M326*0.1 + N326*0.05 + Q326*0.15 + R326*0.12 + S326*0.09, 2)</f>
        <v>7.17</v>
      </c>
    </row>
    <row r="327" customFormat="false" ht="15" hidden="false" customHeight="false" outlineLevel="0" collapsed="false">
      <c r="A327" s="10" t="n">
        <v>324</v>
      </c>
      <c r="B327" s="11" t="s">
        <v>726</v>
      </c>
      <c r="C327" s="11" t="s">
        <v>733</v>
      </c>
      <c r="D327" s="12" t="s">
        <v>734</v>
      </c>
      <c r="E327" s="11" t="s">
        <v>735</v>
      </c>
      <c r="F327" s="10" t="n">
        <v>8.2</v>
      </c>
      <c r="G327" s="10" t="n">
        <v>7</v>
      </c>
      <c r="H327" s="10" t="n">
        <v>5</v>
      </c>
      <c r="I327" s="10" t="n">
        <v>7</v>
      </c>
      <c r="J327" s="10" t="n">
        <v>6</v>
      </c>
      <c r="K327" s="10" t="n">
        <v>4</v>
      </c>
      <c r="L327" s="13" t="n">
        <v>400</v>
      </c>
      <c r="M327" s="10" t="n">
        <v>7</v>
      </c>
      <c r="N327" s="10" t="n">
        <v>5</v>
      </c>
      <c r="O327" s="11" t="s">
        <v>61</v>
      </c>
      <c r="P327" s="10" t="s">
        <v>171</v>
      </c>
      <c r="Q327" s="10" t="n">
        <v>8</v>
      </c>
      <c r="R327" s="10" t="n">
        <v>7.5</v>
      </c>
      <c r="S327" s="10" t="n">
        <v>7.5</v>
      </c>
      <c r="T327" s="14" t="n">
        <f aca="false">ROUND(F327*0.15 + G327*0.08 + H327*0.08 + I327*0.1 + J327*0.08 + M327*0.1 + N327*0.05 + Q327*0.15 + R327*0.12 + S327*0.09, 2)</f>
        <v>7.1</v>
      </c>
    </row>
    <row r="328" customFormat="false" ht="15" hidden="false" customHeight="false" outlineLevel="0" collapsed="false">
      <c r="A328" s="5" t="n">
        <v>325</v>
      </c>
      <c r="B328" s="6" t="s">
        <v>736</v>
      </c>
      <c r="C328" s="6" t="s">
        <v>737</v>
      </c>
      <c r="D328" s="7" t="s">
        <v>738</v>
      </c>
      <c r="E328" s="6" t="s">
        <v>102</v>
      </c>
      <c r="F328" s="5" t="n">
        <v>8</v>
      </c>
      <c r="G328" s="5" t="n">
        <v>7</v>
      </c>
      <c r="H328" s="5" t="n">
        <v>5</v>
      </c>
      <c r="I328" s="5" t="n">
        <v>7</v>
      </c>
      <c r="J328" s="5" t="n">
        <v>7</v>
      </c>
      <c r="K328" s="5" t="n">
        <v>3</v>
      </c>
      <c r="L328" s="8" t="n">
        <v>400</v>
      </c>
      <c r="M328" s="5" t="n">
        <v>7</v>
      </c>
      <c r="N328" s="5" t="n">
        <v>3</v>
      </c>
      <c r="O328" s="6" t="s">
        <v>61</v>
      </c>
      <c r="P328" s="5" t="s">
        <v>739</v>
      </c>
      <c r="Q328" s="5" t="n">
        <v>8</v>
      </c>
      <c r="R328" s="5" t="n">
        <v>7</v>
      </c>
      <c r="S328" s="5" t="n">
        <v>7.5</v>
      </c>
      <c r="T328" s="9" t="n">
        <f aca="false">ROUND(F328*0.15 + G328*0.08 + H328*0.08 + I328*0.1 + J328*0.08 + M328*0.1 + N328*0.05 + Q328*0.15 + R328*0.12 + S328*0.09, 2)</f>
        <v>6.99</v>
      </c>
    </row>
    <row r="329" customFormat="false" ht="15" hidden="false" customHeight="false" outlineLevel="0" collapsed="false">
      <c r="A329" s="10" t="n">
        <v>326</v>
      </c>
      <c r="B329" s="11" t="s">
        <v>736</v>
      </c>
      <c r="C329" s="11" t="s">
        <v>737</v>
      </c>
      <c r="D329" s="12" t="s">
        <v>740</v>
      </c>
      <c r="E329" s="11" t="s">
        <v>99</v>
      </c>
      <c r="F329" s="10" t="n">
        <v>7.8</v>
      </c>
      <c r="G329" s="10" t="n">
        <v>5</v>
      </c>
      <c r="H329" s="10" t="n">
        <v>4</v>
      </c>
      <c r="I329" s="10" t="n">
        <v>7</v>
      </c>
      <c r="J329" s="10" t="n">
        <v>7</v>
      </c>
      <c r="K329" s="10" t="n">
        <v>2</v>
      </c>
      <c r="L329" s="13" t="n">
        <v>400</v>
      </c>
      <c r="M329" s="10" t="n">
        <v>7</v>
      </c>
      <c r="N329" s="10" t="n">
        <v>2</v>
      </c>
      <c r="O329" s="11" t="s">
        <v>26</v>
      </c>
      <c r="P329" s="10" t="s">
        <v>27</v>
      </c>
      <c r="Q329" s="10" t="n">
        <v>8</v>
      </c>
      <c r="R329" s="10" t="n">
        <v>6.5</v>
      </c>
      <c r="S329" s="10" t="n">
        <v>7</v>
      </c>
      <c r="T329" s="14" t="n">
        <f aca="false">ROUND(F329*0.15 + G329*0.08 + H329*0.08 + I329*0.1 + J329*0.08 + M329*0.1 + N329*0.05 + Q329*0.15 + R329*0.12 + S329*0.09, 2)</f>
        <v>6.56</v>
      </c>
    </row>
    <row r="330" customFormat="false" ht="15" hidden="false" customHeight="false" outlineLevel="0" collapsed="false">
      <c r="A330" s="5" t="n">
        <v>327</v>
      </c>
      <c r="B330" s="6" t="s">
        <v>736</v>
      </c>
      <c r="C330" s="6" t="s">
        <v>741</v>
      </c>
      <c r="D330" s="7" t="s">
        <v>742</v>
      </c>
      <c r="E330" s="6" t="s">
        <v>184</v>
      </c>
      <c r="F330" s="5" t="n">
        <v>9.5</v>
      </c>
      <c r="G330" s="5" t="n">
        <v>5</v>
      </c>
      <c r="H330" s="5" t="n">
        <v>3</v>
      </c>
      <c r="I330" s="5" t="n">
        <v>9</v>
      </c>
      <c r="J330" s="5" t="n">
        <v>8</v>
      </c>
      <c r="K330" s="5" t="n">
        <v>8</v>
      </c>
      <c r="L330" s="8" t="n">
        <v>900</v>
      </c>
      <c r="M330" s="5" t="n">
        <v>4</v>
      </c>
      <c r="N330" s="5" t="n">
        <v>3</v>
      </c>
      <c r="O330" s="6" t="s">
        <v>61</v>
      </c>
      <c r="P330" s="5" t="s">
        <v>334</v>
      </c>
      <c r="Q330" s="5" t="n">
        <v>10</v>
      </c>
      <c r="R330" s="5" t="n">
        <v>7.5</v>
      </c>
      <c r="S330" s="5" t="n">
        <v>7</v>
      </c>
      <c r="T330" s="9" t="n">
        <f aca="false">ROUND(F330*0.15 + G330*0.08 + H330*0.08 + I330*0.1 + J330*0.08 + M330*0.1 + N330*0.05 + Q330*0.15 + R330*0.12 + S330*0.09, 2)</f>
        <v>7.19</v>
      </c>
    </row>
    <row r="331" customFormat="false" ht="15" hidden="false" customHeight="false" outlineLevel="0" collapsed="false">
      <c r="A331" s="10" t="n">
        <v>328</v>
      </c>
      <c r="B331" s="11" t="s">
        <v>736</v>
      </c>
      <c r="C331" s="11" t="s">
        <v>743</v>
      </c>
      <c r="D331" s="12" t="s">
        <v>744</v>
      </c>
      <c r="E331" s="11" t="s">
        <v>745</v>
      </c>
      <c r="F331" s="10" t="n">
        <v>9</v>
      </c>
      <c r="G331" s="10" t="n">
        <v>5</v>
      </c>
      <c r="H331" s="10" t="n">
        <v>4</v>
      </c>
      <c r="I331" s="10" t="n">
        <v>9</v>
      </c>
      <c r="J331" s="10" t="n">
        <v>8</v>
      </c>
      <c r="K331" s="10" t="n">
        <v>6</v>
      </c>
      <c r="L331" s="13" t="n">
        <v>700</v>
      </c>
      <c r="M331" s="10" t="n">
        <v>4</v>
      </c>
      <c r="N331" s="10" t="n">
        <v>3</v>
      </c>
      <c r="O331" s="11" t="s">
        <v>68</v>
      </c>
      <c r="P331" s="10" t="s">
        <v>69</v>
      </c>
      <c r="Q331" s="10" t="n">
        <v>9.5</v>
      </c>
      <c r="R331" s="10" t="n">
        <v>7</v>
      </c>
      <c r="S331" s="10" t="n">
        <v>7</v>
      </c>
      <c r="T331" s="14" t="n">
        <f aca="false">ROUND(F331*0.15 + G331*0.08 + H331*0.08 + I331*0.1 + J331*0.08 + M331*0.1 + N331*0.05 + Q331*0.15 + R331*0.12 + S331*0.09, 2)</f>
        <v>7.06</v>
      </c>
    </row>
    <row r="332" customFormat="false" ht="15" hidden="false" customHeight="false" outlineLevel="0" collapsed="false">
      <c r="A332" s="5" t="n">
        <v>329</v>
      </c>
      <c r="B332" s="6" t="s">
        <v>736</v>
      </c>
      <c r="C332" s="6" t="s">
        <v>743</v>
      </c>
      <c r="D332" s="7" t="s">
        <v>746</v>
      </c>
      <c r="E332" s="6" t="s">
        <v>745</v>
      </c>
      <c r="F332" s="5" t="n">
        <v>9</v>
      </c>
      <c r="G332" s="5" t="n">
        <v>4</v>
      </c>
      <c r="H332" s="5" t="n">
        <v>3</v>
      </c>
      <c r="I332" s="5" t="n">
        <v>9</v>
      </c>
      <c r="J332" s="5" t="n">
        <v>8</v>
      </c>
      <c r="K332" s="5" t="n">
        <v>6</v>
      </c>
      <c r="L332" s="8" t="n">
        <v>700</v>
      </c>
      <c r="M332" s="5" t="n">
        <v>4</v>
      </c>
      <c r="N332" s="5" t="n">
        <v>3</v>
      </c>
      <c r="O332" s="6" t="s">
        <v>68</v>
      </c>
      <c r="P332" s="5" t="s">
        <v>69</v>
      </c>
      <c r="Q332" s="5" t="n">
        <v>9.5</v>
      </c>
      <c r="R332" s="5" t="n">
        <v>7</v>
      </c>
      <c r="S332" s="5" t="n">
        <v>7</v>
      </c>
      <c r="T332" s="9" t="n">
        <f aca="false">ROUND(F332*0.15 + G332*0.08 + H332*0.08 + I332*0.1 + J332*0.08 + M332*0.1 + N332*0.05 + Q332*0.15 + R332*0.12 + S332*0.09, 2)</f>
        <v>6.9</v>
      </c>
    </row>
    <row r="333" customFormat="false" ht="15" hidden="false" customHeight="false" outlineLevel="0" collapsed="false">
      <c r="A333" s="10" t="n">
        <v>330</v>
      </c>
      <c r="B333" s="11" t="s">
        <v>736</v>
      </c>
      <c r="C333" s="11" t="s">
        <v>747</v>
      </c>
      <c r="D333" s="12" t="s">
        <v>748</v>
      </c>
      <c r="E333" s="11" t="s">
        <v>184</v>
      </c>
      <c r="F333" s="10" t="n">
        <v>9.2</v>
      </c>
      <c r="G333" s="10" t="n">
        <v>5</v>
      </c>
      <c r="H333" s="10" t="n">
        <v>4</v>
      </c>
      <c r="I333" s="10" t="n">
        <v>9</v>
      </c>
      <c r="J333" s="10" t="n">
        <v>8</v>
      </c>
      <c r="K333" s="10" t="n">
        <v>4</v>
      </c>
      <c r="L333" s="13" t="n">
        <v>600</v>
      </c>
      <c r="M333" s="10" t="n">
        <v>5</v>
      </c>
      <c r="N333" s="10" t="n">
        <v>3</v>
      </c>
      <c r="O333" s="11" t="s">
        <v>68</v>
      </c>
      <c r="P333" s="10" t="s">
        <v>69</v>
      </c>
      <c r="Q333" s="10" t="n">
        <v>9.5</v>
      </c>
      <c r="R333" s="10" t="n">
        <v>7</v>
      </c>
      <c r="S333" s="10" t="n">
        <v>7</v>
      </c>
      <c r="T333" s="14" t="n">
        <f aca="false">ROUND(F333*0.15 + G333*0.08 + H333*0.08 + I333*0.1 + J333*0.08 + M333*0.1 + N333*0.05 + Q333*0.15 + R333*0.12 + S333*0.09, 2)</f>
        <v>7.19</v>
      </c>
    </row>
    <row r="334" customFormat="false" ht="15" hidden="false" customHeight="false" outlineLevel="0" collapsed="false">
      <c r="A334" s="5" t="n">
        <v>331</v>
      </c>
      <c r="B334" s="6" t="s">
        <v>736</v>
      </c>
      <c r="C334" s="6" t="s">
        <v>749</v>
      </c>
      <c r="D334" s="7" t="s">
        <v>750</v>
      </c>
      <c r="E334" s="6" t="s">
        <v>116</v>
      </c>
      <c r="F334" s="5" t="n">
        <v>8.3</v>
      </c>
      <c r="G334" s="5" t="n">
        <v>5</v>
      </c>
      <c r="H334" s="5" t="n">
        <v>4</v>
      </c>
      <c r="I334" s="5" t="n">
        <v>7</v>
      </c>
      <c r="J334" s="5" t="n">
        <v>7</v>
      </c>
      <c r="K334" s="5" t="n">
        <v>3</v>
      </c>
      <c r="L334" s="8" t="n">
        <v>500</v>
      </c>
      <c r="M334" s="5" t="n">
        <v>5</v>
      </c>
      <c r="N334" s="5" t="n">
        <v>3</v>
      </c>
      <c r="O334" s="6" t="s">
        <v>26</v>
      </c>
      <c r="P334" s="5" t="s">
        <v>119</v>
      </c>
      <c r="Q334" s="5" t="n">
        <v>8.5</v>
      </c>
      <c r="R334" s="5" t="n">
        <v>7</v>
      </c>
      <c r="S334" s="5" t="n">
        <v>7</v>
      </c>
      <c r="T334" s="9" t="n">
        <f aca="false">ROUND(F334*0.15 + G334*0.08 + H334*0.08 + I334*0.1 + J334*0.08 + M334*0.1 + N334*0.05 + Q334*0.15 + R334*0.12 + S334*0.09, 2)</f>
        <v>6.62</v>
      </c>
    </row>
    <row r="335" customFormat="false" ht="15" hidden="false" customHeight="false" outlineLevel="0" collapsed="false">
      <c r="A335" s="10" t="n">
        <v>332</v>
      </c>
      <c r="B335" s="11" t="s">
        <v>736</v>
      </c>
      <c r="C335" s="11" t="s">
        <v>751</v>
      </c>
      <c r="D335" s="12" t="s">
        <v>752</v>
      </c>
      <c r="E335" s="11" t="s">
        <v>108</v>
      </c>
      <c r="F335" s="10" t="n">
        <v>8.5</v>
      </c>
      <c r="G335" s="10" t="n">
        <v>4</v>
      </c>
      <c r="H335" s="10" t="n">
        <v>3</v>
      </c>
      <c r="I335" s="10" t="n">
        <v>7</v>
      </c>
      <c r="J335" s="10" t="n">
        <v>7</v>
      </c>
      <c r="K335" s="10" t="n">
        <v>5</v>
      </c>
      <c r="L335" s="13" t="n">
        <v>500</v>
      </c>
      <c r="M335" s="10" t="n">
        <v>5</v>
      </c>
      <c r="N335" s="10" t="n">
        <v>4</v>
      </c>
      <c r="O335" s="11" t="s">
        <v>61</v>
      </c>
      <c r="P335" s="10" t="s">
        <v>334</v>
      </c>
      <c r="Q335" s="10" t="n">
        <v>8.5</v>
      </c>
      <c r="R335" s="10" t="n">
        <v>6.5</v>
      </c>
      <c r="S335" s="10" t="n">
        <v>7</v>
      </c>
      <c r="T335" s="14" t="n">
        <f aca="false">ROUND(F335*0.15 + G335*0.08 + H335*0.08 + I335*0.1 + J335*0.08 + M335*0.1 + N335*0.05 + Q335*0.15 + R335*0.12 + S335*0.09, 2)</f>
        <v>6.48</v>
      </c>
    </row>
    <row r="336" customFormat="false" ht="15" hidden="false" customHeight="false" outlineLevel="0" collapsed="false">
      <c r="A336" s="5" t="n">
        <v>333</v>
      </c>
      <c r="B336" s="6" t="s">
        <v>736</v>
      </c>
      <c r="C336" s="6" t="s">
        <v>753</v>
      </c>
      <c r="D336" s="7" t="s">
        <v>754</v>
      </c>
      <c r="E336" s="6" t="s">
        <v>600</v>
      </c>
      <c r="F336" s="5" t="n">
        <v>8</v>
      </c>
      <c r="G336" s="5" t="n">
        <v>3</v>
      </c>
      <c r="H336" s="5" t="n">
        <v>2</v>
      </c>
      <c r="I336" s="5" t="n">
        <v>7</v>
      </c>
      <c r="J336" s="5" t="n">
        <v>7</v>
      </c>
      <c r="K336" s="5" t="n">
        <v>6</v>
      </c>
      <c r="L336" s="8" t="n">
        <v>600</v>
      </c>
      <c r="M336" s="5" t="n">
        <v>4</v>
      </c>
      <c r="N336" s="5" t="n">
        <v>3</v>
      </c>
      <c r="O336" s="6" t="s">
        <v>68</v>
      </c>
      <c r="P336" s="5" t="s">
        <v>720</v>
      </c>
      <c r="Q336" s="5" t="n">
        <v>9</v>
      </c>
      <c r="R336" s="5" t="n">
        <v>5.5</v>
      </c>
      <c r="S336" s="5" t="n">
        <v>7</v>
      </c>
      <c r="T336" s="9" t="n">
        <f aca="false">ROUND(F336*0.15 + G336*0.08 + H336*0.08 + I336*0.1 + J336*0.08 + M336*0.1 + N336*0.05 + Q336*0.15 + R336*0.12 + S336*0.09, 2)</f>
        <v>6.05</v>
      </c>
    </row>
    <row r="337" customFormat="false" ht="15" hidden="false" customHeight="false" outlineLevel="0" collapsed="false">
      <c r="A337" s="10" t="n">
        <v>334</v>
      </c>
      <c r="B337" s="11" t="s">
        <v>736</v>
      </c>
      <c r="C337" s="11" t="s">
        <v>755</v>
      </c>
      <c r="D337" s="12" t="s">
        <v>756</v>
      </c>
      <c r="E337" s="11" t="s">
        <v>67</v>
      </c>
      <c r="F337" s="10" t="n">
        <v>8</v>
      </c>
      <c r="G337" s="10" t="n">
        <v>5</v>
      </c>
      <c r="H337" s="10" t="n">
        <v>5</v>
      </c>
      <c r="I337" s="10" t="n">
        <v>7</v>
      </c>
      <c r="J337" s="10" t="n">
        <v>7</v>
      </c>
      <c r="K337" s="10" t="n">
        <v>3</v>
      </c>
      <c r="L337" s="13" t="n">
        <v>400</v>
      </c>
      <c r="M337" s="10" t="n">
        <v>5</v>
      </c>
      <c r="N337" s="10" t="n">
        <v>3</v>
      </c>
      <c r="O337" s="11" t="s">
        <v>122</v>
      </c>
      <c r="P337" s="10" t="s">
        <v>757</v>
      </c>
      <c r="Q337" s="10" t="n">
        <v>8</v>
      </c>
      <c r="R337" s="10" t="n">
        <v>6.5</v>
      </c>
      <c r="S337" s="10" t="n">
        <v>7.5</v>
      </c>
      <c r="T337" s="14" t="n">
        <f aca="false">ROUND(F337*0.15 + G337*0.08 + H337*0.08 + I337*0.1 + J337*0.08 + M337*0.1 + N337*0.05 + Q337*0.15 + R337*0.12 + S337*0.09, 2)</f>
        <v>6.57</v>
      </c>
    </row>
    <row r="338" customFormat="false" ht="15" hidden="false" customHeight="false" outlineLevel="0" collapsed="false">
      <c r="A338" s="5" t="n">
        <v>335</v>
      </c>
      <c r="B338" s="6" t="s">
        <v>736</v>
      </c>
      <c r="C338" s="6" t="s">
        <v>755</v>
      </c>
      <c r="D338" s="7" t="s">
        <v>758</v>
      </c>
      <c r="E338" s="6" t="s">
        <v>25</v>
      </c>
      <c r="F338" s="5" t="n">
        <v>8.8</v>
      </c>
      <c r="G338" s="5" t="n">
        <v>7</v>
      </c>
      <c r="H338" s="5" t="n">
        <v>6</v>
      </c>
      <c r="I338" s="5" t="n">
        <v>8</v>
      </c>
      <c r="J338" s="5" t="n">
        <v>9</v>
      </c>
      <c r="K338" s="5" t="n">
        <v>4</v>
      </c>
      <c r="L338" s="8" t="n">
        <v>500</v>
      </c>
      <c r="M338" s="5" t="n">
        <v>6</v>
      </c>
      <c r="N338" s="5" t="n">
        <v>5</v>
      </c>
      <c r="O338" s="6" t="s">
        <v>26</v>
      </c>
      <c r="P338" s="5" t="s">
        <v>119</v>
      </c>
      <c r="Q338" s="5" t="n">
        <v>9.5</v>
      </c>
      <c r="R338" s="5" t="n">
        <v>7.5</v>
      </c>
      <c r="S338" s="5" t="n">
        <v>8</v>
      </c>
      <c r="T338" s="9" t="n">
        <f aca="false">ROUND(F338*0.15 + G338*0.08 + H338*0.08 + I338*0.1 + J338*0.08 + M338*0.1 + N338*0.05 + Q338*0.15 + R338*0.12 + S338*0.09, 2)</f>
        <v>7.78</v>
      </c>
    </row>
    <row r="339" customFormat="false" ht="15" hidden="false" customHeight="false" outlineLevel="0" collapsed="false">
      <c r="A339" s="10" t="n">
        <v>336</v>
      </c>
      <c r="B339" s="11" t="s">
        <v>736</v>
      </c>
      <c r="C339" s="11" t="s">
        <v>755</v>
      </c>
      <c r="D339" s="12" t="s">
        <v>759</v>
      </c>
      <c r="E339" s="11" t="s">
        <v>607</v>
      </c>
      <c r="F339" s="10" t="n">
        <v>8.5</v>
      </c>
      <c r="G339" s="10" t="n">
        <v>3</v>
      </c>
      <c r="H339" s="10" t="n">
        <v>2</v>
      </c>
      <c r="I339" s="10" t="n">
        <v>8</v>
      </c>
      <c r="J339" s="10" t="n">
        <v>7</v>
      </c>
      <c r="K339" s="10" t="n">
        <v>6</v>
      </c>
      <c r="L339" s="13" t="n">
        <v>700</v>
      </c>
      <c r="M339" s="10" t="n">
        <v>4</v>
      </c>
      <c r="N339" s="10" t="n">
        <v>3</v>
      </c>
      <c r="O339" s="11" t="s">
        <v>61</v>
      </c>
      <c r="P339" s="10" t="s">
        <v>334</v>
      </c>
      <c r="Q339" s="10" t="n">
        <v>9.5</v>
      </c>
      <c r="R339" s="10" t="n">
        <v>5.5</v>
      </c>
      <c r="S339" s="10" t="n">
        <v>7</v>
      </c>
      <c r="T339" s="14" t="n">
        <f aca="false">ROUND(F339*0.15 + G339*0.08 + H339*0.08 + I339*0.1 + J339*0.08 + M339*0.1 + N339*0.05 + Q339*0.15 + R339*0.12 + S339*0.09, 2)</f>
        <v>6.3</v>
      </c>
    </row>
    <row r="340" customFormat="false" ht="15" hidden="false" customHeight="false" outlineLevel="0" collapsed="false">
      <c r="A340" s="5" t="n">
        <v>337</v>
      </c>
      <c r="B340" s="6" t="s">
        <v>736</v>
      </c>
      <c r="C340" s="6" t="s">
        <v>743</v>
      </c>
      <c r="D340" s="7" t="s">
        <v>760</v>
      </c>
      <c r="E340" s="6" t="s">
        <v>25</v>
      </c>
      <c r="F340" s="5" t="n">
        <v>8</v>
      </c>
      <c r="G340" s="5" t="n">
        <v>5</v>
      </c>
      <c r="H340" s="5" t="n">
        <v>5</v>
      </c>
      <c r="I340" s="5" t="n">
        <v>7</v>
      </c>
      <c r="J340" s="5" t="n">
        <v>7</v>
      </c>
      <c r="K340" s="5" t="n">
        <v>3</v>
      </c>
      <c r="L340" s="8" t="n">
        <v>500</v>
      </c>
      <c r="M340" s="5" t="n">
        <v>5</v>
      </c>
      <c r="N340" s="5" t="n">
        <v>6</v>
      </c>
      <c r="O340" s="6" t="s">
        <v>68</v>
      </c>
      <c r="P340" s="5" t="s">
        <v>69</v>
      </c>
      <c r="Q340" s="5" t="n">
        <v>7.5</v>
      </c>
      <c r="R340" s="5" t="n">
        <v>7</v>
      </c>
      <c r="S340" s="5" t="n">
        <v>7.5</v>
      </c>
      <c r="T340" s="9" t="n">
        <f aca="false">ROUND(F340*0.15 + G340*0.08 + H340*0.08 + I340*0.1 + J340*0.08 + M340*0.1 + N340*0.05 + Q340*0.15 + R340*0.12 + S340*0.09, 2)</f>
        <v>6.7</v>
      </c>
    </row>
    <row r="341" customFormat="false" ht="15" hidden="false" customHeight="false" outlineLevel="0" collapsed="false">
      <c r="A341" s="10" t="n">
        <v>338</v>
      </c>
      <c r="B341" s="11" t="s">
        <v>736</v>
      </c>
      <c r="C341" s="11" t="s">
        <v>761</v>
      </c>
      <c r="D341" s="12" t="s">
        <v>762</v>
      </c>
      <c r="E341" s="11" t="s">
        <v>184</v>
      </c>
      <c r="F341" s="10" t="n">
        <v>8.8</v>
      </c>
      <c r="G341" s="10" t="n">
        <v>6</v>
      </c>
      <c r="H341" s="10" t="n">
        <v>4</v>
      </c>
      <c r="I341" s="10" t="n">
        <v>8</v>
      </c>
      <c r="J341" s="10" t="n">
        <v>8</v>
      </c>
      <c r="K341" s="10" t="n">
        <v>5</v>
      </c>
      <c r="L341" s="13" t="n">
        <v>600</v>
      </c>
      <c r="M341" s="10" t="n">
        <v>6</v>
      </c>
      <c r="N341" s="10" t="n">
        <v>4</v>
      </c>
      <c r="O341" s="11" t="s">
        <v>68</v>
      </c>
      <c r="P341" s="10" t="s">
        <v>69</v>
      </c>
      <c r="Q341" s="10" t="n">
        <v>9</v>
      </c>
      <c r="R341" s="10" t="n">
        <v>7.5</v>
      </c>
      <c r="S341" s="10" t="n">
        <v>7</v>
      </c>
      <c r="T341" s="14" t="n">
        <f aca="false">ROUND(F341*0.15 + G341*0.08 + H341*0.08 + I341*0.1 + J341*0.08 + M341*0.1 + N341*0.05 + Q341*0.15 + R341*0.12 + S341*0.09, 2)</f>
        <v>7.24</v>
      </c>
    </row>
    <row r="342" customFormat="false" ht="15" hidden="false" customHeight="false" outlineLevel="0" collapsed="false">
      <c r="A342" s="5" t="n">
        <v>339</v>
      </c>
      <c r="B342" s="6" t="s">
        <v>736</v>
      </c>
      <c r="C342" s="6" t="s">
        <v>763</v>
      </c>
      <c r="D342" s="7" t="s">
        <v>764</v>
      </c>
      <c r="E342" s="6" t="s">
        <v>25</v>
      </c>
      <c r="F342" s="5" t="n">
        <v>7.8</v>
      </c>
      <c r="G342" s="5" t="n">
        <v>6</v>
      </c>
      <c r="H342" s="5" t="n">
        <v>6</v>
      </c>
      <c r="I342" s="5" t="n">
        <v>7</v>
      </c>
      <c r="J342" s="5" t="n">
        <v>7</v>
      </c>
      <c r="K342" s="5" t="n">
        <v>2</v>
      </c>
      <c r="L342" s="8" t="n">
        <v>400</v>
      </c>
      <c r="M342" s="5" t="n">
        <v>5</v>
      </c>
      <c r="N342" s="5" t="n">
        <v>6</v>
      </c>
      <c r="O342" s="6" t="s">
        <v>26</v>
      </c>
      <c r="P342" s="5" t="s">
        <v>27</v>
      </c>
      <c r="Q342" s="5" t="n">
        <v>7.5</v>
      </c>
      <c r="R342" s="5" t="n">
        <v>6.5</v>
      </c>
      <c r="S342" s="5" t="n">
        <v>7.5</v>
      </c>
      <c r="T342" s="9" t="n">
        <f aca="false">ROUND(F342*0.15 + G342*0.08 + H342*0.08 + I342*0.1 + J342*0.08 + M342*0.1 + N342*0.05 + Q342*0.15 + R342*0.12 + S342*0.09, 2)</f>
        <v>6.77</v>
      </c>
    </row>
    <row r="343" customFormat="false" ht="15" hidden="false" customHeight="false" outlineLevel="0" collapsed="false">
      <c r="A343" s="10" t="n">
        <v>340</v>
      </c>
      <c r="B343" s="11" t="s">
        <v>736</v>
      </c>
      <c r="C343" s="11" t="s">
        <v>741</v>
      </c>
      <c r="D343" s="12" t="s">
        <v>765</v>
      </c>
      <c r="E343" s="11" t="s">
        <v>116</v>
      </c>
      <c r="F343" s="10" t="n">
        <v>8.5</v>
      </c>
      <c r="G343" s="10" t="n">
        <v>4</v>
      </c>
      <c r="H343" s="10" t="n">
        <v>3</v>
      </c>
      <c r="I343" s="10" t="n">
        <v>8</v>
      </c>
      <c r="J343" s="10" t="n">
        <v>7</v>
      </c>
      <c r="K343" s="10" t="n">
        <v>5</v>
      </c>
      <c r="L343" s="13" t="n">
        <v>600</v>
      </c>
      <c r="M343" s="10" t="n">
        <v>4</v>
      </c>
      <c r="N343" s="10" t="n">
        <v>3</v>
      </c>
      <c r="O343" s="11" t="s">
        <v>61</v>
      </c>
      <c r="P343" s="10" t="s">
        <v>334</v>
      </c>
      <c r="Q343" s="10" t="n">
        <v>9</v>
      </c>
      <c r="R343" s="10" t="n">
        <v>6.5</v>
      </c>
      <c r="S343" s="10" t="n">
        <v>7</v>
      </c>
      <c r="T343" s="14" t="n">
        <f aca="false">ROUND(F343*0.15 + G343*0.08 + H343*0.08 + I343*0.1 + J343*0.08 + M343*0.1 + N343*0.05 + Q343*0.15 + R343*0.12 + S343*0.09, 2)</f>
        <v>6.51</v>
      </c>
    </row>
    <row r="344" customFormat="false" ht="15" hidden="false" customHeight="false" outlineLevel="0" collapsed="false">
      <c r="A344" s="5" t="n">
        <v>341</v>
      </c>
      <c r="B344" s="6" t="s">
        <v>736</v>
      </c>
      <c r="C344" s="6" t="s">
        <v>741</v>
      </c>
      <c r="D344" s="7" t="s">
        <v>766</v>
      </c>
      <c r="E344" s="6" t="s">
        <v>184</v>
      </c>
      <c r="F344" s="5" t="n">
        <v>8</v>
      </c>
      <c r="G344" s="5" t="n">
        <v>5</v>
      </c>
      <c r="H344" s="5" t="n">
        <v>4</v>
      </c>
      <c r="I344" s="5" t="n">
        <v>7</v>
      </c>
      <c r="J344" s="5" t="n">
        <v>7</v>
      </c>
      <c r="K344" s="5" t="n">
        <v>3</v>
      </c>
      <c r="L344" s="8" t="n">
        <v>500</v>
      </c>
      <c r="M344" s="5" t="n">
        <v>4</v>
      </c>
      <c r="N344" s="5" t="n">
        <v>3</v>
      </c>
      <c r="O344" s="6" t="s">
        <v>61</v>
      </c>
      <c r="P344" s="5" t="s">
        <v>64</v>
      </c>
      <c r="Q344" s="5" t="n">
        <v>7.5</v>
      </c>
      <c r="R344" s="5" t="n">
        <v>6</v>
      </c>
      <c r="S344" s="5" t="n">
        <v>7</v>
      </c>
      <c r="T344" s="9" t="n">
        <f aca="false">ROUND(F344*0.15 + G344*0.08 + H344*0.08 + I344*0.1 + J344*0.08 + M344*0.1 + N344*0.05 + Q344*0.15 + R344*0.12 + S344*0.09, 2)</f>
        <v>6.21</v>
      </c>
    </row>
    <row r="345" customFormat="false" ht="15" hidden="false" customHeight="false" outlineLevel="0" collapsed="false">
      <c r="A345" s="10" t="n">
        <v>342</v>
      </c>
      <c r="B345" s="11" t="s">
        <v>736</v>
      </c>
      <c r="C345" s="11" t="s">
        <v>743</v>
      </c>
      <c r="D345" s="12" t="s">
        <v>767</v>
      </c>
      <c r="E345" s="11" t="s">
        <v>233</v>
      </c>
      <c r="F345" s="10" t="n">
        <v>8</v>
      </c>
      <c r="G345" s="10" t="n">
        <v>6</v>
      </c>
      <c r="H345" s="10" t="n">
        <v>6</v>
      </c>
      <c r="I345" s="10" t="n">
        <v>8</v>
      </c>
      <c r="J345" s="10" t="n">
        <v>7</v>
      </c>
      <c r="K345" s="10" t="n">
        <v>3</v>
      </c>
      <c r="L345" s="13" t="n">
        <v>500</v>
      </c>
      <c r="M345" s="10" t="n">
        <v>5</v>
      </c>
      <c r="N345" s="10" t="n">
        <v>5</v>
      </c>
      <c r="O345" s="11" t="s">
        <v>68</v>
      </c>
      <c r="P345" s="10" t="s">
        <v>69</v>
      </c>
      <c r="Q345" s="10" t="n">
        <v>7.5</v>
      </c>
      <c r="R345" s="10" t="n">
        <v>7</v>
      </c>
      <c r="S345" s="10" t="n">
        <v>7.5</v>
      </c>
      <c r="T345" s="14" t="n">
        <f aca="false">ROUND(F345*0.15 + G345*0.08 + H345*0.08 + I345*0.1 + J345*0.08 + M345*0.1 + N345*0.05 + Q345*0.15 + R345*0.12 + S345*0.09, 2)</f>
        <v>6.91</v>
      </c>
    </row>
    <row r="346" customFormat="false" ht="15" hidden="false" customHeight="false" outlineLevel="0" collapsed="false">
      <c r="A346" s="5" t="n">
        <v>343</v>
      </c>
      <c r="B346" s="6" t="s">
        <v>768</v>
      </c>
      <c r="C346" s="6" t="s">
        <v>769</v>
      </c>
      <c r="D346" s="7" t="s">
        <v>770</v>
      </c>
      <c r="E346" s="6" t="s">
        <v>184</v>
      </c>
      <c r="F346" s="5" t="n">
        <v>7.8</v>
      </c>
      <c r="G346" s="5" t="n">
        <v>4</v>
      </c>
      <c r="H346" s="5" t="n">
        <v>4</v>
      </c>
      <c r="I346" s="5" t="n">
        <v>7</v>
      </c>
      <c r="J346" s="5" t="n">
        <v>7</v>
      </c>
      <c r="K346" s="5" t="n">
        <v>3</v>
      </c>
      <c r="L346" s="8" t="n">
        <v>400</v>
      </c>
      <c r="M346" s="5" t="n">
        <v>4</v>
      </c>
      <c r="N346" s="5" t="n">
        <v>3</v>
      </c>
      <c r="O346" s="6" t="s">
        <v>61</v>
      </c>
      <c r="P346" s="5" t="s">
        <v>64</v>
      </c>
      <c r="Q346" s="5" t="n">
        <v>7.5</v>
      </c>
      <c r="R346" s="5" t="n">
        <v>5.5</v>
      </c>
      <c r="S346" s="5" t="n">
        <v>7.5</v>
      </c>
      <c r="T346" s="9" t="n">
        <f aca="false">ROUND(F346*0.15 + G346*0.08 + H346*0.08 + I346*0.1 + J346*0.08 + M346*0.1 + N346*0.05 + Q346*0.15 + R346*0.12 + S346*0.09, 2)</f>
        <v>6.08</v>
      </c>
    </row>
    <row r="347" customFormat="false" ht="15" hidden="false" customHeight="false" outlineLevel="0" collapsed="false">
      <c r="A347" s="10" t="n">
        <v>344</v>
      </c>
      <c r="B347" s="11" t="s">
        <v>58</v>
      </c>
      <c r="C347" s="11" t="s">
        <v>771</v>
      </c>
      <c r="D347" s="12" t="s">
        <v>772</v>
      </c>
      <c r="E347" s="11" t="s">
        <v>773</v>
      </c>
      <c r="F347" s="10" t="n">
        <v>8</v>
      </c>
      <c r="G347" s="10" t="n">
        <v>6</v>
      </c>
      <c r="H347" s="10" t="n">
        <v>3</v>
      </c>
      <c r="I347" s="10" t="n">
        <v>8</v>
      </c>
      <c r="J347" s="10" t="n">
        <v>6</v>
      </c>
      <c r="K347" s="10" t="n">
        <v>5</v>
      </c>
      <c r="L347" s="13" t="n">
        <v>700</v>
      </c>
      <c r="M347" s="10" t="n">
        <v>7</v>
      </c>
      <c r="N347" s="10" t="n">
        <v>3</v>
      </c>
      <c r="O347" s="11" t="s">
        <v>187</v>
      </c>
      <c r="P347" s="10" t="s">
        <v>656</v>
      </c>
      <c r="Q347" s="10" t="n">
        <v>7</v>
      </c>
      <c r="R347" s="10" t="n">
        <v>8</v>
      </c>
      <c r="S347" s="10" t="n">
        <v>6.5</v>
      </c>
      <c r="T347" s="14" t="n">
        <f aca="false">ROUND(F347*0.15 + G347*0.08 + H347*0.08 + I347*0.1 + J347*0.08 + M347*0.1 + N347*0.05 + Q347*0.15 + R347*0.12 + S347*0.09, 2)</f>
        <v>6.65</v>
      </c>
    </row>
    <row r="348" customFormat="false" ht="15" hidden="false" customHeight="false" outlineLevel="0" collapsed="false">
      <c r="A348" s="5" t="n">
        <v>345</v>
      </c>
      <c r="B348" s="6" t="s">
        <v>111</v>
      </c>
      <c r="C348" s="6" t="s">
        <v>774</v>
      </c>
      <c r="D348" s="7" t="s">
        <v>775</v>
      </c>
      <c r="E348" s="6" t="s">
        <v>745</v>
      </c>
      <c r="F348" s="5" t="n">
        <v>9</v>
      </c>
      <c r="G348" s="5" t="n">
        <v>6</v>
      </c>
      <c r="H348" s="5" t="n">
        <v>4</v>
      </c>
      <c r="I348" s="5" t="n">
        <v>9</v>
      </c>
      <c r="J348" s="5" t="n">
        <v>7</v>
      </c>
      <c r="K348" s="5" t="n">
        <v>6</v>
      </c>
      <c r="L348" s="8" t="n">
        <v>700</v>
      </c>
      <c r="M348" s="5" t="n">
        <v>5</v>
      </c>
      <c r="N348" s="5" t="n">
        <v>3</v>
      </c>
      <c r="O348" s="6" t="s">
        <v>68</v>
      </c>
      <c r="P348" s="5" t="s">
        <v>69</v>
      </c>
      <c r="Q348" s="5" t="n">
        <v>9.5</v>
      </c>
      <c r="R348" s="5" t="n">
        <v>7</v>
      </c>
      <c r="S348" s="5" t="n">
        <v>7</v>
      </c>
      <c r="T348" s="9" t="n">
        <f aca="false">ROUND(F348*0.15 + G348*0.08 + H348*0.08 + I348*0.1 + J348*0.08 + M348*0.1 + N348*0.05 + Q348*0.15 + R348*0.12 + S348*0.09, 2)</f>
        <v>7.16</v>
      </c>
    </row>
    <row r="349" customFormat="false" ht="15" hidden="false" customHeight="false" outlineLevel="0" collapsed="false">
      <c r="A349" s="10" t="n">
        <v>346</v>
      </c>
      <c r="B349" s="11" t="s">
        <v>172</v>
      </c>
      <c r="C349" s="11" t="s">
        <v>173</v>
      </c>
      <c r="D349" s="12" t="s">
        <v>776</v>
      </c>
      <c r="E349" s="11" t="s">
        <v>777</v>
      </c>
      <c r="F349" s="10" t="n">
        <v>8</v>
      </c>
      <c r="G349" s="10" t="n">
        <v>8</v>
      </c>
      <c r="H349" s="10" t="n">
        <v>5</v>
      </c>
      <c r="I349" s="10" t="n">
        <v>6</v>
      </c>
      <c r="J349" s="10" t="n">
        <v>6</v>
      </c>
      <c r="K349" s="10" t="n">
        <v>3</v>
      </c>
      <c r="L349" s="13" t="n">
        <v>500</v>
      </c>
      <c r="M349" s="10" t="n">
        <v>8</v>
      </c>
      <c r="N349" s="10" t="n">
        <v>5</v>
      </c>
      <c r="O349" s="11" t="s">
        <v>156</v>
      </c>
      <c r="P349" s="10" t="s">
        <v>778</v>
      </c>
      <c r="Q349" s="10" t="n">
        <v>7.5</v>
      </c>
      <c r="R349" s="10" t="n">
        <v>7.5</v>
      </c>
      <c r="S349" s="10" t="n">
        <v>7</v>
      </c>
      <c r="T349" s="14" t="n">
        <f aca="false">ROUND(F349*0.15 + G349*0.08 + H349*0.08 + I349*0.1 + J349*0.08 + M349*0.1 + N349*0.05 + Q349*0.15 + R349*0.12 + S349*0.09, 2)</f>
        <v>7.03</v>
      </c>
    </row>
    <row r="350" customFormat="false" ht="15" hidden="false" customHeight="false" outlineLevel="0" collapsed="false">
      <c r="A350" s="5" t="n">
        <v>347</v>
      </c>
      <c r="B350" s="6" t="s">
        <v>191</v>
      </c>
      <c r="C350" s="6" t="s">
        <v>779</v>
      </c>
      <c r="D350" s="7" t="s">
        <v>780</v>
      </c>
      <c r="E350" s="6" t="s">
        <v>233</v>
      </c>
      <c r="F350" s="5" t="n">
        <v>9</v>
      </c>
      <c r="G350" s="5" t="n">
        <v>7</v>
      </c>
      <c r="H350" s="5" t="n">
        <v>7</v>
      </c>
      <c r="I350" s="5" t="n">
        <v>9</v>
      </c>
      <c r="J350" s="5" t="n">
        <v>8</v>
      </c>
      <c r="K350" s="5" t="n">
        <v>3</v>
      </c>
      <c r="L350" s="8" t="n">
        <v>800</v>
      </c>
      <c r="M350" s="5" t="n">
        <v>10</v>
      </c>
      <c r="N350" s="5" t="n">
        <v>9</v>
      </c>
      <c r="O350" s="6" t="s">
        <v>36</v>
      </c>
      <c r="P350" s="6" t="s">
        <v>195</v>
      </c>
      <c r="Q350" s="5" t="n">
        <v>8.5</v>
      </c>
      <c r="R350" s="5" t="n">
        <v>9.5</v>
      </c>
      <c r="S350" s="5" t="n">
        <v>8</v>
      </c>
      <c r="T350" s="9" t="n">
        <f aca="false">ROUND(F350*0.15 + G350*0.08 + H350*0.08 + I350*0.1 + J350*0.08 + M350*0.1 + N350*0.05 + Q350*0.15 + R350*0.12 + S350*0.09, 2)</f>
        <v>8.6</v>
      </c>
    </row>
    <row r="351" customFormat="false" ht="15" hidden="false" customHeight="false" outlineLevel="0" collapsed="false">
      <c r="A351" s="10" t="n">
        <v>348</v>
      </c>
      <c r="B351" s="11" t="s">
        <v>343</v>
      </c>
      <c r="C351" s="11" t="s">
        <v>781</v>
      </c>
      <c r="D351" s="12" t="s">
        <v>782</v>
      </c>
      <c r="E351" s="11" t="s">
        <v>25</v>
      </c>
      <c r="F351" s="10" t="n">
        <v>7.8</v>
      </c>
      <c r="G351" s="10" t="n">
        <v>5</v>
      </c>
      <c r="H351" s="10" t="n">
        <v>5</v>
      </c>
      <c r="I351" s="10" t="n">
        <v>6</v>
      </c>
      <c r="J351" s="10" t="n">
        <v>7</v>
      </c>
      <c r="K351" s="10" t="n">
        <v>3</v>
      </c>
      <c r="L351" s="13" t="n">
        <v>350</v>
      </c>
      <c r="M351" s="10" t="n">
        <v>6</v>
      </c>
      <c r="N351" s="10" t="n">
        <v>7</v>
      </c>
      <c r="O351" s="11" t="s">
        <v>26</v>
      </c>
      <c r="P351" s="10" t="s">
        <v>198</v>
      </c>
      <c r="Q351" s="10" t="n">
        <v>7.5</v>
      </c>
      <c r="R351" s="10" t="n">
        <v>6.5</v>
      </c>
      <c r="S351" s="10" t="n">
        <v>8</v>
      </c>
      <c r="T351" s="14" t="n">
        <f aca="false">ROUND(F351*0.15 + G351*0.08 + H351*0.08 + I351*0.1 + J351*0.08 + M351*0.1 + N351*0.05 + Q351*0.15 + R351*0.12 + S351*0.09, 2)</f>
        <v>6.71</v>
      </c>
    </row>
    <row r="352" customFormat="false" ht="15" hidden="false" customHeight="false" outlineLevel="0" collapsed="false">
      <c r="A352" s="5" t="n">
        <v>349</v>
      </c>
      <c r="B352" s="6" t="s">
        <v>459</v>
      </c>
      <c r="C352" s="6" t="s">
        <v>466</v>
      </c>
      <c r="D352" s="7" t="s">
        <v>783</v>
      </c>
      <c r="E352" s="6" t="s">
        <v>225</v>
      </c>
      <c r="F352" s="5" t="n">
        <v>7.8</v>
      </c>
      <c r="G352" s="5" t="n">
        <v>8</v>
      </c>
      <c r="H352" s="5" t="n">
        <v>4</v>
      </c>
      <c r="I352" s="5" t="n">
        <v>6</v>
      </c>
      <c r="J352" s="5" t="n">
        <v>5</v>
      </c>
      <c r="K352" s="5" t="n">
        <v>5</v>
      </c>
      <c r="L352" s="8" t="n">
        <v>400</v>
      </c>
      <c r="M352" s="5" t="n">
        <v>9</v>
      </c>
      <c r="N352" s="5" t="n">
        <v>8</v>
      </c>
      <c r="O352" s="6" t="s">
        <v>36</v>
      </c>
      <c r="P352" s="6" t="s">
        <v>195</v>
      </c>
      <c r="Q352" s="5" t="n">
        <v>6.5</v>
      </c>
      <c r="R352" s="5" t="n">
        <v>7.5</v>
      </c>
      <c r="S352" s="5" t="n">
        <v>7</v>
      </c>
      <c r="T352" s="9" t="n">
        <f aca="false">ROUND(F352*0.15 + G352*0.08 + H352*0.08 + I352*0.1 + J352*0.08 + M352*0.1 + N352*0.05 + Q352*0.15 + R352*0.12 + S352*0.09, 2)</f>
        <v>6.94</v>
      </c>
    </row>
    <row r="353" customFormat="false" ht="15" hidden="false" customHeight="false" outlineLevel="0" collapsed="false">
      <c r="A353" s="10" t="n">
        <v>350</v>
      </c>
      <c r="B353" s="11" t="s">
        <v>484</v>
      </c>
      <c r="C353" s="11" t="s">
        <v>784</v>
      </c>
      <c r="D353" s="12" t="s">
        <v>785</v>
      </c>
      <c r="E353" s="11" t="s">
        <v>181</v>
      </c>
      <c r="F353" s="10" t="n">
        <v>7.8</v>
      </c>
      <c r="G353" s="10" t="n">
        <v>6</v>
      </c>
      <c r="H353" s="10" t="n">
        <v>5</v>
      </c>
      <c r="I353" s="10" t="n">
        <v>7</v>
      </c>
      <c r="J353" s="10" t="n">
        <v>6</v>
      </c>
      <c r="K353" s="10" t="n">
        <v>4</v>
      </c>
      <c r="L353" s="13" t="n">
        <v>400</v>
      </c>
      <c r="M353" s="10" t="n">
        <v>8</v>
      </c>
      <c r="N353" s="10" t="n">
        <v>7</v>
      </c>
      <c r="O353" s="11" t="s">
        <v>659</v>
      </c>
      <c r="P353" s="10" t="s">
        <v>660</v>
      </c>
      <c r="Q353" s="10" t="n">
        <v>7</v>
      </c>
      <c r="R353" s="10" t="n">
        <v>7.5</v>
      </c>
      <c r="S353" s="10" t="n">
        <v>8</v>
      </c>
      <c r="T353" s="14" t="n">
        <f aca="false">ROUND(F353*0.15 + G353*0.08 + H353*0.08 + I353*0.1 + J353*0.08 + M353*0.1 + N353*0.05 + Q353*0.15 + R353*0.12 + S353*0.09, 2)</f>
        <v>7.05</v>
      </c>
    </row>
    <row r="354" customFormat="false" ht="15" hidden="false" customHeight="false" outlineLevel="0" collapsed="false">
      <c r="A354" s="5" t="n">
        <v>351</v>
      </c>
      <c r="B354" s="6" t="s">
        <v>517</v>
      </c>
      <c r="C354" s="6" t="s">
        <v>786</v>
      </c>
      <c r="D354" s="7" t="s">
        <v>787</v>
      </c>
      <c r="E354" s="6" t="s">
        <v>71</v>
      </c>
      <c r="F354" s="5" t="n">
        <v>8</v>
      </c>
      <c r="G354" s="5" t="n">
        <v>7</v>
      </c>
      <c r="H354" s="5" t="n">
        <v>6</v>
      </c>
      <c r="I354" s="5" t="n">
        <v>7</v>
      </c>
      <c r="J354" s="5" t="n">
        <v>7</v>
      </c>
      <c r="K354" s="5" t="n">
        <v>3</v>
      </c>
      <c r="L354" s="8" t="n">
        <v>350</v>
      </c>
      <c r="M354" s="5" t="n">
        <v>7</v>
      </c>
      <c r="N354" s="5" t="n">
        <v>7</v>
      </c>
      <c r="O354" s="6" t="s">
        <v>26</v>
      </c>
      <c r="P354" s="5" t="s">
        <v>198</v>
      </c>
      <c r="Q354" s="5" t="n">
        <v>7.5</v>
      </c>
      <c r="R354" s="5" t="n">
        <v>7.5</v>
      </c>
      <c r="S354" s="5" t="n">
        <v>8.5</v>
      </c>
      <c r="T354" s="9" t="n">
        <f aca="false">ROUND(F354*0.15 + G354*0.08 + H354*0.08 + I354*0.1 + J354*0.08 + M354*0.1 + N354*0.05 + Q354*0.15 + R354*0.12 + S354*0.09, 2)</f>
        <v>7.34</v>
      </c>
    </row>
    <row r="355" customFormat="false" ht="15" hidden="false" customHeight="false" outlineLevel="0" collapsed="false">
      <c r="A355" s="10" t="n">
        <v>352</v>
      </c>
      <c r="B355" s="11" t="s">
        <v>538</v>
      </c>
      <c r="C355" s="11" t="s">
        <v>788</v>
      </c>
      <c r="D355" s="12" t="s">
        <v>789</v>
      </c>
      <c r="E355" s="11" t="s">
        <v>790</v>
      </c>
      <c r="F355" s="10" t="n">
        <v>7.8</v>
      </c>
      <c r="G355" s="10" t="n">
        <v>5</v>
      </c>
      <c r="H355" s="10" t="n">
        <v>5</v>
      </c>
      <c r="I355" s="10" t="n">
        <v>7</v>
      </c>
      <c r="J355" s="10" t="n">
        <v>7</v>
      </c>
      <c r="K355" s="10" t="n">
        <v>3</v>
      </c>
      <c r="L355" s="13" t="n">
        <v>600</v>
      </c>
      <c r="M355" s="10" t="n">
        <v>7</v>
      </c>
      <c r="N355" s="10" t="n">
        <v>7</v>
      </c>
      <c r="O355" s="11" t="s">
        <v>655</v>
      </c>
      <c r="P355" s="10" t="s">
        <v>791</v>
      </c>
      <c r="Q355" s="10" t="n">
        <v>7</v>
      </c>
      <c r="R355" s="10" t="n">
        <v>8</v>
      </c>
      <c r="S355" s="10" t="n">
        <v>7</v>
      </c>
      <c r="T355" s="14" t="n">
        <f aca="false">ROUND(F355*0.15 + G355*0.08 + H355*0.08 + I355*0.1 + J355*0.08 + M355*0.1 + N355*0.05 + Q355*0.15 + R355*0.12 + S355*0.09, 2)</f>
        <v>6.92</v>
      </c>
    </row>
    <row r="356" customFormat="false" ht="15" hidden="false" customHeight="false" outlineLevel="0" collapsed="false">
      <c r="A356" s="5" t="n">
        <v>353</v>
      </c>
      <c r="B356" s="6" t="s">
        <v>553</v>
      </c>
      <c r="C356" s="6" t="s">
        <v>792</v>
      </c>
      <c r="D356" s="7" t="s">
        <v>793</v>
      </c>
      <c r="E356" s="6" t="s">
        <v>116</v>
      </c>
      <c r="F356" s="5" t="n">
        <v>8</v>
      </c>
      <c r="G356" s="5" t="n">
        <v>5</v>
      </c>
      <c r="H356" s="5" t="n">
        <v>3</v>
      </c>
      <c r="I356" s="5" t="n">
        <v>7</v>
      </c>
      <c r="J356" s="5" t="n">
        <v>7</v>
      </c>
      <c r="K356" s="5" t="n">
        <v>5</v>
      </c>
      <c r="L356" s="8" t="n">
        <v>400</v>
      </c>
      <c r="M356" s="5" t="n">
        <v>6</v>
      </c>
      <c r="N356" s="5" t="n">
        <v>6</v>
      </c>
      <c r="O356" s="6" t="s">
        <v>61</v>
      </c>
      <c r="P356" s="5" t="s">
        <v>45</v>
      </c>
      <c r="Q356" s="5" t="n">
        <v>7.5</v>
      </c>
      <c r="R356" s="5" t="n">
        <v>7</v>
      </c>
      <c r="S356" s="5" t="n">
        <v>7.5</v>
      </c>
      <c r="T356" s="9" t="n">
        <f aca="false">ROUND(F356*0.15 + G356*0.08 + H356*0.08 + I356*0.1 + J356*0.08 + M356*0.1 + N356*0.05 + Q356*0.15 + R356*0.12 + S356*0.09, 2)</f>
        <v>6.64</v>
      </c>
    </row>
    <row r="357" customFormat="false" ht="15" hidden="false" customHeight="false" outlineLevel="0" collapsed="false">
      <c r="A357" s="10" t="n">
        <v>354</v>
      </c>
      <c r="B357" s="11" t="s">
        <v>621</v>
      </c>
      <c r="C357" s="11" t="s">
        <v>794</v>
      </c>
      <c r="D357" s="12" t="s">
        <v>795</v>
      </c>
      <c r="E357" s="11" t="s">
        <v>745</v>
      </c>
      <c r="F357" s="10" t="n">
        <v>8</v>
      </c>
      <c r="G357" s="10" t="n">
        <v>5</v>
      </c>
      <c r="H357" s="10" t="n">
        <v>4</v>
      </c>
      <c r="I357" s="10" t="n">
        <v>7</v>
      </c>
      <c r="J357" s="10" t="n">
        <v>7</v>
      </c>
      <c r="K357" s="10" t="n">
        <v>4</v>
      </c>
      <c r="L357" s="13" t="n">
        <v>400</v>
      </c>
      <c r="M357" s="10" t="n">
        <v>5</v>
      </c>
      <c r="N357" s="10" t="n">
        <v>5</v>
      </c>
      <c r="O357" s="11" t="s">
        <v>68</v>
      </c>
      <c r="P357" s="10" t="s">
        <v>69</v>
      </c>
      <c r="Q357" s="10" t="n">
        <v>7.5</v>
      </c>
      <c r="R357" s="10" t="n">
        <v>6.5</v>
      </c>
      <c r="S357" s="10" t="n">
        <v>7.5</v>
      </c>
      <c r="T357" s="14" t="n">
        <f aca="false">ROUND(F357*0.15 + G357*0.08 + H357*0.08 + I357*0.1 + J357*0.08 + M357*0.1 + N357*0.05 + Q357*0.15 + R357*0.12 + S357*0.09, 2)</f>
        <v>6.51</v>
      </c>
    </row>
    <row r="358" customFormat="false" ht="15" hidden="false" customHeight="false" outlineLevel="0" collapsed="false">
      <c r="A358" s="5" t="n">
        <v>355</v>
      </c>
      <c r="B358" s="6" t="s">
        <v>641</v>
      </c>
      <c r="C358" s="6" t="s">
        <v>645</v>
      </c>
      <c r="D358" s="7" t="s">
        <v>796</v>
      </c>
      <c r="E358" s="6" t="s">
        <v>71</v>
      </c>
      <c r="F358" s="5" t="n">
        <v>9.2</v>
      </c>
      <c r="G358" s="5" t="n">
        <v>6</v>
      </c>
      <c r="H358" s="5" t="n">
        <v>5</v>
      </c>
      <c r="I358" s="5" t="n">
        <v>10</v>
      </c>
      <c r="J358" s="5" t="n">
        <v>8</v>
      </c>
      <c r="K358" s="5" t="n">
        <v>6</v>
      </c>
      <c r="L358" s="8" t="n">
        <v>700</v>
      </c>
      <c r="M358" s="5" t="n">
        <v>7</v>
      </c>
      <c r="N358" s="5" t="n">
        <v>7</v>
      </c>
      <c r="O358" s="6" t="s">
        <v>36</v>
      </c>
      <c r="P358" s="5" t="s">
        <v>198</v>
      </c>
      <c r="Q358" s="5" t="n">
        <v>9.5</v>
      </c>
      <c r="R358" s="5" t="n">
        <v>8</v>
      </c>
      <c r="S358" s="5" t="n">
        <v>7.5</v>
      </c>
      <c r="T358" s="9" t="n">
        <f aca="false">ROUND(F358*0.15 + G358*0.08 + H358*0.08 + I358*0.1 + J358*0.08 + M358*0.1 + N358*0.05 + Q358*0.15 + R358*0.12 + S358*0.09, 2)</f>
        <v>8.01</v>
      </c>
    </row>
    <row r="359" customFormat="false" ht="15" hidden="false" customHeight="false" outlineLevel="0" collapsed="false">
      <c r="A359" s="10" t="n">
        <v>356</v>
      </c>
      <c r="B359" s="11" t="s">
        <v>700</v>
      </c>
      <c r="C359" s="11" t="s">
        <v>797</v>
      </c>
      <c r="D359" s="12" t="s">
        <v>798</v>
      </c>
      <c r="E359" s="11" t="s">
        <v>92</v>
      </c>
      <c r="F359" s="10" t="n">
        <v>8.5</v>
      </c>
      <c r="G359" s="10" t="n">
        <v>4</v>
      </c>
      <c r="H359" s="10" t="n">
        <v>4</v>
      </c>
      <c r="I359" s="10" t="n">
        <v>7</v>
      </c>
      <c r="J359" s="10" t="n">
        <v>8</v>
      </c>
      <c r="K359" s="10" t="n">
        <v>3</v>
      </c>
      <c r="L359" s="13" t="n">
        <v>400</v>
      </c>
      <c r="M359" s="10" t="n">
        <v>5</v>
      </c>
      <c r="N359" s="10" t="n">
        <v>4</v>
      </c>
      <c r="O359" s="11" t="s">
        <v>61</v>
      </c>
      <c r="P359" s="10" t="s">
        <v>64</v>
      </c>
      <c r="Q359" s="10" t="n">
        <v>9</v>
      </c>
      <c r="R359" s="10" t="n">
        <v>6.5</v>
      </c>
      <c r="S359" s="10" t="n">
        <v>8</v>
      </c>
      <c r="T359" s="14" t="n">
        <f aca="false">ROUND(F359*0.15 + G359*0.08 + H359*0.08 + I359*0.1 + J359*0.08 + M359*0.1 + N359*0.05 + Q359*0.15 + R359*0.12 + S359*0.09, 2)</f>
        <v>6.81</v>
      </c>
    </row>
    <row r="360" customFormat="false" ht="15" hidden="false" customHeight="false" outlineLevel="0" collapsed="false">
      <c r="A360" s="5" t="n">
        <v>357</v>
      </c>
      <c r="B360" s="6" t="s">
        <v>726</v>
      </c>
      <c r="C360" s="6" t="s">
        <v>727</v>
      </c>
      <c r="D360" s="7" t="s">
        <v>799</v>
      </c>
      <c r="E360" s="6" t="s">
        <v>166</v>
      </c>
      <c r="F360" s="5" t="n">
        <v>8</v>
      </c>
      <c r="G360" s="5" t="n">
        <v>5</v>
      </c>
      <c r="H360" s="5" t="n">
        <v>5</v>
      </c>
      <c r="I360" s="5" t="n">
        <v>7</v>
      </c>
      <c r="J360" s="5" t="n">
        <v>7</v>
      </c>
      <c r="K360" s="5" t="n">
        <v>3</v>
      </c>
      <c r="L360" s="8" t="n">
        <v>350</v>
      </c>
      <c r="M360" s="5" t="n">
        <v>7</v>
      </c>
      <c r="N360" s="5" t="n">
        <v>5</v>
      </c>
      <c r="O360" s="6" t="s">
        <v>61</v>
      </c>
      <c r="P360" s="5" t="s">
        <v>45</v>
      </c>
      <c r="Q360" s="5" t="n">
        <v>8.5</v>
      </c>
      <c r="R360" s="5" t="n">
        <v>7</v>
      </c>
      <c r="S360" s="5" t="n">
        <v>8</v>
      </c>
      <c r="T360" s="9" t="n">
        <f aca="false">ROUND(F360*0.15 + G360*0.08 + H360*0.08 + I360*0.1 + J360*0.08 + M360*0.1 + N360*0.05 + Q360*0.15 + R360*0.12 + S360*0.09, 2)</f>
        <v>7.05</v>
      </c>
    </row>
    <row r="361" customFormat="false" ht="15" hidden="false" customHeight="false" outlineLevel="0" collapsed="false">
      <c r="A361" s="10" t="n">
        <v>358</v>
      </c>
      <c r="B361" s="11" t="s">
        <v>715</v>
      </c>
      <c r="C361" s="11" t="s">
        <v>800</v>
      </c>
      <c r="D361" s="12" t="s">
        <v>801</v>
      </c>
      <c r="E361" s="11" t="s">
        <v>25</v>
      </c>
      <c r="F361" s="10" t="n">
        <v>8</v>
      </c>
      <c r="G361" s="10" t="n">
        <v>3</v>
      </c>
      <c r="H361" s="10" t="n">
        <v>3</v>
      </c>
      <c r="I361" s="10" t="n">
        <v>7</v>
      </c>
      <c r="J361" s="10" t="n">
        <v>7</v>
      </c>
      <c r="K361" s="10" t="n">
        <v>4</v>
      </c>
      <c r="L361" s="13" t="n">
        <v>600</v>
      </c>
      <c r="M361" s="10" t="n">
        <v>4</v>
      </c>
      <c r="N361" s="10" t="n">
        <v>3</v>
      </c>
      <c r="O361" s="11" t="s">
        <v>68</v>
      </c>
      <c r="P361" s="10" t="s">
        <v>69</v>
      </c>
      <c r="Q361" s="10" t="n">
        <v>8.5</v>
      </c>
      <c r="R361" s="10" t="n">
        <v>5.5</v>
      </c>
      <c r="S361" s="10" t="n">
        <v>7.5</v>
      </c>
      <c r="T361" s="14" t="n">
        <f aca="false">ROUND(F361*0.15 + G361*0.08 + H361*0.08 + I361*0.1 + J361*0.08 + M361*0.1 + N361*0.05 + Q361*0.15 + R361*0.12 + S361*0.09, 2)</f>
        <v>6.1</v>
      </c>
    </row>
  </sheetData>
  <mergeCells count="2">
    <mergeCell ref="A1:S1"/>
    <mergeCell ref="A2:S2"/>
  </mergeCells>
  <conditionalFormatting sqref="F4:F361">
    <cfRule type="cellIs" priority="2" operator="greaterThanOrEqual" aboveAverage="0" equalAverage="0" bottom="0" percent="0" rank="0" text="" dxfId="0">
      <formula>9</formula>
    </cfRule>
    <cfRule type="cellIs" priority="3" operator="lessThan" aboveAverage="0" equalAverage="0" bottom="0" percent="0" rank="0" text="" dxfId="1">
      <formula>6</formula>
    </cfRule>
  </conditionalFormatting>
  <conditionalFormatting sqref="G4:G361">
    <cfRule type="cellIs" priority="4" operator="greaterThanOrEqual" aboveAverage="0" equalAverage="0" bottom="0" percent="0" rank="0" text="" dxfId="0">
      <formula>9</formula>
    </cfRule>
    <cfRule type="cellIs" priority="5" operator="lessThan" aboveAverage="0" equalAverage="0" bottom="0" percent="0" rank="0" text="" dxfId="1">
      <formula>6</formula>
    </cfRule>
  </conditionalFormatting>
  <conditionalFormatting sqref="H4:H361">
    <cfRule type="cellIs" priority="6" operator="greaterThanOrEqual" aboveAverage="0" equalAverage="0" bottom="0" percent="0" rank="0" text="" dxfId="0">
      <formula>9</formula>
    </cfRule>
    <cfRule type="cellIs" priority="7" operator="lessThan" aboveAverage="0" equalAverage="0" bottom="0" percent="0" rank="0" text="" dxfId="1">
      <formula>6</formula>
    </cfRule>
  </conditionalFormatting>
  <conditionalFormatting sqref="I4:I361">
    <cfRule type="cellIs" priority="8" operator="greaterThanOrEqual" aboveAverage="0" equalAverage="0" bottom="0" percent="0" rank="0" text="" dxfId="0">
      <formula>9</formula>
    </cfRule>
    <cfRule type="cellIs" priority="9" operator="lessThan" aboveAverage="0" equalAverage="0" bottom="0" percent="0" rank="0" text="" dxfId="1">
      <formula>6</formula>
    </cfRule>
  </conditionalFormatting>
  <conditionalFormatting sqref="J4:J361">
    <cfRule type="cellIs" priority="10" operator="greaterThanOrEqual" aboveAverage="0" equalAverage="0" bottom="0" percent="0" rank="0" text="" dxfId="0">
      <formula>9</formula>
    </cfRule>
    <cfRule type="cellIs" priority="11" operator="lessThan" aboveAverage="0" equalAverage="0" bottom="0" percent="0" rank="0" text="" dxfId="1">
      <formula>6</formula>
    </cfRule>
  </conditionalFormatting>
  <conditionalFormatting sqref="M4:M361">
    <cfRule type="cellIs" priority="12" operator="greaterThanOrEqual" aboveAverage="0" equalAverage="0" bottom="0" percent="0" rank="0" text="" dxfId="0">
      <formula>9</formula>
    </cfRule>
    <cfRule type="cellIs" priority="13" operator="lessThan" aboveAverage="0" equalAverage="0" bottom="0" percent="0" rank="0" text="" dxfId="1">
      <formula>6</formula>
    </cfRule>
  </conditionalFormatting>
  <conditionalFormatting sqref="N4:N361">
    <cfRule type="cellIs" priority="14" operator="greaterThanOrEqual" aboveAverage="0" equalAverage="0" bottom="0" percent="0" rank="0" text="" dxfId="0">
      <formula>9</formula>
    </cfRule>
    <cfRule type="cellIs" priority="15" operator="lessThan" aboveAverage="0" equalAverage="0" bottom="0" percent="0" rank="0" text="" dxfId="1">
      <formula>6</formula>
    </cfRule>
  </conditionalFormatting>
  <conditionalFormatting sqref="Q4:Q361">
    <cfRule type="cellIs" priority="16" operator="greaterThanOrEqual" aboveAverage="0" equalAverage="0" bottom="0" percent="0" rank="0" text="" dxfId="0">
      <formula>9</formula>
    </cfRule>
    <cfRule type="cellIs" priority="17" operator="lessThan" aboveAverage="0" equalAverage="0" bottom="0" percent="0" rank="0" text="" dxfId="1">
      <formula>6</formula>
    </cfRule>
  </conditionalFormatting>
  <conditionalFormatting sqref="R4:R361">
    <cfRule type="cellIs" priority="18" operator="greaterThanOrEqual" aboveAverage="0" equalAverage="0" bottom="0" percent="0" rank="0" text="" dxfId="0">
      <formula>9</formula>
    </cfRule>
    <cfRule type="cellIs" priority="19" operator="lessThan" aboveAverage="0" equalAverage="0" bottom="0" percent="0" rank="0" text="" dxfId="1">
      <formula>6</formula>
    </cfRule>
  </conditionalFormatting>
  <conditionalFormatting sqref="S4:S361">
    <cfRule type="cellIs" priority="20" operator="greaterThanOrEqual" aboveAverage="0" equalAverage="0" bottom="0" percent="0" rank="0" text="" dxfId="0">
      <formula>9</formula>
    </cfRule>
    <cfRule type="cellIs" priority="21" operator="lessThan" aboveAverage="0" equalAverage="0" bottom="0" percent="0" rank="0" text="" dxfId="1">
      <formula>6</formula>
    </cfRule>
  </conditionalFormatting>
  <conditionalFormatting sqref="T4:T361">
    <cfRule type="cellIs" priority="22" operator="greaterThanOrEqual" aboveAverage="0" equalAverage="0" bottom="0" percent="0" rank="0" text="" dxfId="0">
      <formula>9</formula>
    </cfRule>
    <cfRule type="cellIs" priority="23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4"/>
  </cols>
  <sheetData>
    <row r="1" customFormat="false" ht="34.5" hidden="false" customHeight="true" outlineLevel="0" collapsed="false">
      <c r="A1" s="15" t="s">
        <v>802</v>
      </c>
      <c r="B1" s="15"/>
      <c r="C1" s="15"/>
      <c r="D1" s="15"/>
      <c r="E1" s="15"/>
      <c r="F1" s="15"/>
      <c r="G1" s="15"/>
    </row>
    <row r="2" customFormat="false" ht="32.8" hidden="false" customHeight="false" outlineLevel="0" collapsed="false">
      <c r="A2" s="3" t="s">
        <v>3</v>
      </c>
      <c r="B2" s="16" t="s">
        <v>803</v>
      </c>
      <c r="C2" s="3" t="s">
        <v>804</v>
      </c>
      <c r="D2" s="3" t="s">
        <v>805</v>
      </c>
      <c r="E2" s="3" t="s">
        <v>806</v>
      </c>
      <c r="F2" s="3" t="s">
        <v>807</v>
      </c>
      <c r="G2" s="3" t="s">
        <v>808</v>
      </c>
    </row>
    <row r="3" customFormat="false" ht="15" hidden="false" customHeight="false" outlineLevel="0" collapsed="false">
      <c r="A3" s="17" t="s">
        <v>204</v>
      </c>
      <c r="B3" s="18" t="n">
        <v>26</v>
      </c>
      <c r="C3" s="18" t="n">
        <v>8.41</v>
      </c>
      <c r="D3" s="18" t="n">
        <v>8</v>
      </c>
      <c r="E3" s="18" t="n">
        <v>8.08</v>
      </c>
      <c r="F3" s="18" t="n">
        <v>8.17</v>
      </c>
      <c r="G3" s="19" t="n">
        <v>7.75</v>
      </c>
    </row>
    <row r="4" customFormat="false" ht="15" hidden="false" customHeight="false" outlineLevel="0" collapsed="false">
      <c r="A4" s="20" t="s">
        <v>254</v>
      </c>
      <c r="B4" s="21" t="n">
        <v>22</v>
      </c>
      <c r="C4" s="21" t="n">
        <v>8.5</v>
      </c>
      <c r="D4" s="21" t="n">
        <v>7.36</v>
      </c>
      <c r="E4" s="21" t="n">
        <v>7.82</v>
      </c>
      <c r="F4" s="21" t="n">
        <v>8.45</v>
      </c>
      <c r="G4" s="22" t="n">
        <v>7.63</v>
      </c>
    </row>
    <row r="5" customFormat="false" ht="15" hidden="false" customHeight="false" outlineLevel="0" collapsed="false">
      <c r="A5" s="17" t="s">
        <v>581</v>
      </c>
      <c r="B5" s="18" t="n">
        <v>18</v>
      </c>
      <c r="C5" s="18" t="n">
        <v>8.66</v>
      </c>
      <c r="D5" s="18" t="n">
        <v>6.28</v>
      </c>
      <c r="E5" s="18" t="n">
        <v>7.72</v>
      </c>
      <c r="F5" s="18" t="n">
        <v>8.78</v>
      </c>
      <c r="G5" s="19" t="n">
        <v>7.32</v>
      </c>
    </row>
    <row r="6" customFormat="false" ht="15" hidden="false" customHeight="false" outlineLevel="0" collapsed="false">
      <c r="A6" s="20" t="s">
        <v>736</v>
      </c>
      <c r="B6" s="21" t="n">
        <v>18</v>
      </c>
      <c r="C6" s="21" t="n">
        <v>8.43</v>
      </c>
      <c r="D6" s="21" t="n">
        <v>4.94</v>
      </c>
      <c r="E6" s="21" t="n">
        <v>7.19</v>
      </c>
      <c r="F6" s="21" t="n">
        <v>8.64</v>
      </c>
      <c r="G6" s="22" t="n">
        <v>6.78</v>
      </c>
    </row>
    <row r="7" customFormat="false" ht="15" hidden="false" customHeight="false" outlineLevel="0" collapsed="false">
      <c r="A7" s="17" t="s">
        <v>401</v>
      </c>
      <c r="B7" s="18" t="n">
        <v>17</v>
      </c>
      <c r="C7" s="18" t="n">
        <v>8.48</v>
      </c>
      <c r="D7" s="18" t="n">
        <v>6.71</v>
      </c>
      <c r="E7" s="18" t="n">
        <v>7.76</v>
      </c>
      <c r="F7" s="18" t="n">
        <v>8.21</v>
      </c>
      <c r="G7" s="19" t="n">
        <v>7.22</v>
      </c>
    </row>
    <row r="8" customFormat="false" ht="15" hidden="false" customHeight="false" outlineLevel="0" collapsed="false">
      <c r="A8" s="20" t="s">
        <v>484</v>
      </c>
      <c r="B8" s="21" t="n">
        <v>17</v>
      </c>
      <c r="C8" s="21" t="n">
        <v>8.24</v>
      </c>
      <c r="D8" s="21" t="n">
        <v>7.59</v>
      </c>
      <c r="E8" s="21" t="n">
        <v>7.59</v>
      </c>
      <c r="F8" s="21" t="n">
        <v>7.56</v>
      </c>
      <c r="G8" s="22" t="n">
        <v>7.4</v>
      </c>
    </row>
    <row r="9" customFormat="false" ht="15" hidden="false" customHeight="false" outlineLevel="0" collapsed="false">
      <c r="A9" s="17" t="s">
        <v>369</v>
      </c>
      <c r="B9" s="18" t="n">
        <v>16</v>
      </c>
      <c r="C9" s="18" t="n">
        <v>8.46</v>
      </c>
      <c r="D9" s="18" t="n">
        <v>7.19</v>
      </c>
      <c r="E9" s="18" t="n">
        <v>7.78</v>
      </c>
      <c r="F9" s="18" t="n">
        <v>8.16</v>
      </c>
      <c r="G9" s="19" t="n">
        <v>7.46</v>
      </c>
    </row>
    <row r="10" customFormat="false" ht="15" hidden="false" customHeight="false" outlineLevel="0" collapsed="false">
      <c r="A10" s="20" t="s">
        <v>343</v>
      </c>
      <c r="B10" s="21" t="n">
        <v>15</v>
      </c>
      <c r="C10" s="21" t="n">
        <v>8.46</v>
      </c>
      <c r="D10" s="21" t="n">
        <v>6.53</v>
      </c>
      <c r="E10" s="21" t="n">
        <v>7.8</v>
      </c>
      <c r="F10" s="21" t="n">
        <v>8.5</v>
      </c>
      <c r="G10" s="22" t="n">
        <v>7.29</v>
      </c>
    </row>
    <row r="11" customFormat="false" ht="15" hidden="false" customHeight="false" outlineLevel="0" collapsed="false">
      <c r="A11" s="17" t="s">
        <v>432</v>
      </c>
      <c r="B11" s="18" t="n">
        <v>15</v>
      </c>
      <c r="C11" s="18" t="n">
        <v>8.37</v>
      </c>
      <c r="D11" s="18" t="n">
        <v>6.73</v>
      </c>
      <c r="E11" s="18" t="n">
        <v>7.83</v>
      </c>
      <c r="F11" s="18" t="n">
        <v>8.37</v>
      </c>
      <c r="G11" s="19" t="n">
        <v>7.3</v>
      </c>
    </row>
    <row r="12" customFormat="false" ht="15" hidden="false" customHeight="false" outlineLevel="0" collapsed="false">
      <c r="A12" s="20" t="s">
        <v>290</v>
      </c>
      <c r="B12" s="21" t="n">
        <v>14</v>
      </c>
      <c r="C12" s="21" t="n">
        <v>8.35</v>
      </c>
      <c r="D12" s="21" t="n">
        <v>6.86</v>
      </c>
      <c r="E12" s="21" t="n">
        <v>7.82</v>
      </c>
      <c r="F12" s="21" t="n">
        <v>8</v>
      </c>
      <c r="G12" s="22" t="n">
        <v>7.25</v>
      </c>
    </row>
    <row r="13" customFormat="false" ht="15" hidden="false" customHeight="false" outlineLevel="0" collapsed="false">
      <c r="A13" s="17" t="s">
        <v>58</v>
      </c>
      <c r="B13" s="18" t="n">
        <v>13</v>
      </c>
      <c r="C13" s="18" t="n">
        <v>8.28</v>
      </c>
      <c r="D13" s="18" t="n">
        <v>7</v>
      </c>
      <c r="E13" s="18" t="n">
        <v>7.85</v>
      </c>
      <c r="F13" s="18" t="n">
        <v>8.31</v>
      </c>
      <c r="G13" s="19" t="n">
        <v>7.38</v>
      </c>
    </row>
    <row r="14" customFormat="false" ht="15" hidden="false" customHeight="false" outlineLevel="0" collapsed="false">
      <c r="A14" s="20" t="s">
        <v>459</v>
      </c>
      <c r="B14" s="21" t="n">
        <v>13</v>
      </c>
      <c r="C14" s="21" t="n">
        <v>8.38</v>
      </c>
      <c r="D14" s="21" t="n">
        <v>6.92</v>
      </c>
      <c r="E14" s="21" t="n">
        <v>7.96</v>
      </c>
      <c r="F14" s="21" t="n">
        <v>8.42</v>
      </c>
      <c r="G14" s="22" t="n">
        <v>7.34</v>
      </c>
    </row>
    <row r="15" customFormat="false" ht="15" hidden="false" customHeight="false" outlineLevel="0" collapsed="false">
      <c r="A15" s="17" t="s">
        <v>553</v>
      </c>
      <c r="B15" s="18" t="n">
        <v>13</v>
      </c>
      <c r="C15" s="18" t="n">
        <v>8.32</v>
      </c>
      <c r="D15" s="18" t="n">
        <v>6.38</v>
      </c>
      <c r="E15" s="18" t="n">
        <v>7.62</v>
      </c>
      <c r="F15" s="18" t="n">
        <v>8.15</v>
      </c>
      <c r="G15" s="19" t="n">
        <v>7.17</v>
      </c>
    </row>
    <row r="16" customFormat="false" ht="15" hidden="false" customHeight="false" outlineLevel="0" collapsed="false">
      <c r="A16" s="20" t="s">
        <v>678</v>
      </c>
      <c r="B16" s="21" t="n">
        <v>12</v>
      </c>
      <c r="C16" s="21" t="n">
        <v>8.65</v>
      </c>
      <c r="D16" s="21" t="n">
        <v>7.33</v>
      </c>
      <c r="E16" s="21" t="n">
        <v>8</v>
      </c>
      <c r="F16" s="21" t="n">
        <v>8.83</v>
      </c>
      <c r="G16" s="22" t="n">
        <v>7.55</v>
      </c>
    </row>
    <row r="17" customFormat="false" ht="15" hidden="false" customHeight="false" outlineLevel="0" collapsed="false">
      <c r="A17" s="17" t="s">
        <v>318</v>
      </c>
      <c r="B17" s="18" t="n">
        <v>11</v>
      </c>
      <c r="C17" s="18" t="n">
        <v>8.42</v>
      </c>
      <c r="D17" s="18" t="n">
        <v>6.82</v>
      </c>
      <c r="E17" s="18" t="n">
        <v>7.95</v>
      </c>
      <c r="F17" s="18" t="n">
        <v>8.45</v>
      </c>
      <c r="G17" s="19" t="n">
        <v>7.42</v>
      </c>
    </row>
    <row r="18" customFormat="false" ht="15" hidden="false" customHeight="false" outlineLevel="0" collapsed="false">
      <c r="A18" s="20" t="s">
        <v>641</v>
      </c>
      <c r="B18" s="21" t="n">
        <v>11</v>
      </c>
      <c r="C18" s="21" t="n">
        <v>8.58</v>
      </c>
      <c r="D18" s="21" t="n">
        <v>6.82</v>
      </c>
      <c r="E18" s="21" t="n">
        <v>7.5</v>
      </c>
      <c r="F18" s="21" t="n">
        <v>8.73</v>
      </c>
      <c r="G18" s="22" t="n">
        <v>7.53</v>
      </c>
    </row>
    <row r="19" customFormat="false" ht="15" hidden="false" customHeight="false" outlineLevel="0" collapsed="false">
      <c r="A19" s="17" t="s">
        <v>87</v>
      </c>
      <c r="B19" s="18" t="n">
        <v>10</v>
      </c>
      <c r="C19" s="18" t="n">
        <v>8.7</v>
      </c>
      <c r="D19" s="18" t="n">
        <v>6.8</v>
      </c>
      <c r="E19" s="18" t="n">
        <v>7.9</v>
      </c>
      <c r="F19" s="18" t="n">
        <v>8.9</v>
      </c>
      <c r="G19" s="19" t="n">
        <v>7.58</v>
      </c>
    </row>
    <row r="20" customFormat="false" ht="15" hidden="false" customHeight="false" outlineLevel="0" collapsed="false">
      <c r="A20" s="20" t="s">
        <v>517</v>
      </c>
      <c r="B20" s="21" t="n">
        <v>10</v>
      </c>
      <c r="C20" s="21" t="n">
        <v>8.45</v>
      </c>
      <c r="D20" s="21" t="n">
        <v>6.9</v>
      </c>
      <c r="E20" s="21" t="n">
        <v>7.85</v>
      </c>
      <c r="F20" s="21" t="n">
        <v>8.4</v>
      </c>
      <c r="G20" s="22" t="n">
        <v>7.41</v>
      </c>
    </row>
    <row r="21" customFormat="false" ht="15" hidden="false" customHeight="false" outlineLevel="0" collapsed="false">
      <c r="A21" s="17" t="s">
        <v>621</v>
      </c>
      <c r="B21" s="18" t="n">
        <v>10</v>
      </c>
      <c r="C21" s="18" t="n">
        <v>8.57</v>
      </c>
      <c r="D21" s="18" t="n">
        <v>5.8</v>
      </c>
      <c r="E21" s="18" t="n">
        <v>7.9</v>
      </c>
      <c r="F21" s="18" t="n">
        <v>8.65</v>
      </c>
      <c r="G21" s="19" t="n">
        <v>7.26</v>
      </c>
    </row>
    <row r="22" customFormat="false" ht="15" hidden="false" customHeight="false" outlineLevel="0" collapsed="false">
      <c r="A22" s="20" t="s">
        <v>22</v>
      </c>
      <c r="B22" s="21" t="n">
        <v>9</v>
      </c>
      <c r="C22" s="21" t="n">
        <v>8.81</v>
      </c>
      <c r="D22" s="21" t="n">
        <v>9.44</v>
      </c>
      <c r="E22" s="21" t="n">
        <v>8.11</v>
      </c>
      <c r="F22" s="21" t="n">
        <v>8.94</v>
      </c>
      <c r="G22" s="22" t="n">
        <v>8.22</v>
      </c>
    </row>
    <row r="23" customFormat="false" ht="15" hidden="false" customHeight="false" outlineLevel="0" collapsed="false">
      <c r="A23" s="17" t="s">
        <v>111</v>
      </c>
      <c r="B23" s="18" t="n">
        <v>8</v>
      </c>
      <c r="C23" s="18" t="n">
        <v>8.4</v>
      </c>
      <c r="D23" s="18" t="n">
        <v>5</v>
      </c>
      <c r="E23" s="18" t="n">
        <v>6.94</v>
      </c>
      <c r="F23" s="18" t="n">
        <v>8.56</v>
      </c>
      <c r="G23" s="19" t="n">
        <v>6.8</v>
      </c>
    </row>
    <row r="24" customFormat="false" ht="15" hidden="false" customHeight="false" outlineLevel="0" collapsed="false">
      <c r="A24" s="20" t="s">
        <v>147</v>
      </c>
      <c r="B24" s="21" t="n">
        <v>8</v>
      </c>
      <c r="C24" s="21" t="n">
        <v>8.21</v>
      </c>
      <c r="D24" s="21" t="n">
        <v>6.75</v>
      </c>
      <c r="E24" s="21" t="n">
        <v>7.56</v>
      </c>
      <c r="F24" s="21" t="n">
        <v>8</v>
      </c>
      <c r="G24" s="22" t="n">
        <v>7.22</v>
      </c>
    </row>
    <row r="25" customFormat="false" ht="15" hidden="false" customHeight="false" outlineLevel="0" collapsed="false">
      <c r="A25" s="17" t="s">
        <v>538</v>
      </c>
      <c r="B25" s="18" t="n">
        <v>8</v>
      </c>
      <c r="C25" s="18" t="n">
        <v>8.31</v>
      </c>
      <c r="D25" s="18" t="n">
        <v>7.12</v>
      </c>
      <c r="E25" s="18" t="n">
        <v>7</v>
      </c>
      <c r="F25" s="18" t="n">
        <v>7.88</v>
      </c>
      <c r="G25" s="19" t="n">
        <v>7.28</v>
      </c>
    </row>
    <row r="26" customFormat="false" ht="15" hidden="false" customHeight="false" outlineLevel="0" collapsed="false">
      <c r="A26" s="20" t="s">
        <v>700</v>
      </c>
      <c r="B26" s="21" t="n">
        <v>8</v>
      </c>
      <c r="C26" s="21" t="n">
        <v>8.75</v>
      </c>
      <c r="D26" s="21" t="n">
        <v>5.75</v>
      </c>
      <c r="E26" s="21" t="n">
        <v>7.69</v>
      </c>
      <c r="F26" s="21" t="n">
        <v>9</v>
      </c>
      <c r="G26" s="22" t="n">
        <v>7.25</v>
      </c>
    </row>
    <row r="27" customFormat="false" ht="15" hidden="false" customHeight="false" outlineLevel="0" collapsed="false">
      <c r="A27" s="17" t="s">
        <v>172</v>
      </c>
      <c r="B27" s="18" t="n">
        <v>7</v>
      </c>
      <c r="C27" s="18" t="n">
        <v>8.34</v>
      </c>
      <c r="D27" s="18" t="n">
        <v>6.86</v>
      </c>
      <c r="E27" s="18" t="n">
        <v>7.29</v>
      </c>
      <c r="F27" s="18" t="n">
        <v>8.29</v>
      </c>
      <c r="G27" s="19" t="n">
        <v>7.11</v>
      </c>
    </row>
    <row r="28" customFormat="false" ht="15" hidden="false" customHeight="false" outlineLevel="0" collapsed="false">
      <c r="A28" s="20" t="s">
        <v>131</v>
      </c>
      <c r="B28" s="21" t="n">
        <v>6</v>
      </c>
      <c r="C28" s="21" t="n">
        <v>8.22</v>
      </c>
      <c r="D28" s="21" t="n">
        <v>7.83</v>
      </c>
      <c r="E28" s="21" t="n">
        <v>7.33</v>
      </c>
      <c r="F28" s="21" t="n">
        <v>7.58</v>
      </c>
      <c r="G28" s="22" t="n">
        <v>7.36</v>
      </c>
    </row>
    <row r="29" customFormat="false" ht="15" hidden="false" customHeight="false" outlineLevel="0" collapsed="false">
      <c r="A29" s="17" t="s">
        <v>191</v>
      </c>
      <c r="B29" s="18" t="n">
        <v>5</v>
      </c>
      <c r="C29" s="18" t="n">
        <v>8.5</v>
      </c>
      <c r="D29" s="18" t="n">
        <v>9.4</v>
      </c>
      <c r="E29" s="18" t="n">
        <v>7.5</v>
      </c>
      <c r="F29" s="18" t="n">
        <v>7.8</v>
      </c>
      <c r="G29" s="19" t="n">
        <v>7.99</v>
      </c>
    </row>
    <row r="30" customFormat="false" ht="15" hidden="false" customHeight="false" outlineLevel="0" collapsed="false">
      <c r="A30" s="20" t="s">
        <v>669</v>
      </c>
      <c r="B30" s="21" t="n">
        <v>5</v>
      </c>
      <c r="C30" s="21" t="n">
        <v>8.96</v>
      </c>
      <c r="D30" s="21" t="n">
        <v>5.6</v>
      </c>
      <c r="E30" s="21" t="n">
        <v>7.2</v>
      </c>
      <c r="F30" s="21" t="n">
        <v>9.6</v>
      </c>
      <c r="G30" s="22" t="n">
        <v>7</v>
      </c>
    </row>
    <row r="31" customFormat="false" ht="15" hidden="false" customHeight="false" outlineLevel="0" collapsed="false">
      <c r="A31" s="17" t="s">
        <v>715</v>
      </c>
      <c r="B31" s="18" t="n">
        <v>5</v>
      </c>
      <c r="C31" s="18" t="n">
        <v>8.5</v>
      </c>
      <c r="D31" s="18" t="n">
        <v>5.4</v>
      </c>
      <c r="E31" s="18" t="n">
        <v>7.3</v>
      </c>
      <c r="F31" s="18" t="n">
        <v>8.8</v>
      </c>
      <c r="G31" s="19" t="n">
        <v>6.85</v>
      </c>
    </row>
    <row r="32" customFormat="false" ht="15" hidden="false" customHeight="false" outlineLevel="0" collapsed="false">
      <c r="A32" s="20" t="s">
        <v>726</v>
      </c>
      <c r="B32" s="21" t="n">
        <v>5</v>
      </c>
      <c r="C32" s="21" t="n">
        <v>8.2</v>
      </c>
      <c r="D32" s="21" t="n">
        <v>6.8</v>
      </c>
      <c r="E32" s="21" t="n">
        <v>7.8</v>
      </c>
      <c r="F32" s="21" t="n">
        <v>8</v>
      </c>
      <c r="G32" s="22" t="n">
        <v>7.14</v>
      </c>
    </row>
    <row r="33" customFormat="false" ht="15" hidden="false" customHeight="false" outlineLevel="0" collapsed="false">
      <c r="A33" s="17" t="s">
        <v>52</v>
      </c>
      <c r="B33" s="18" t="n">
        <v>2</v>
      </c>
      <c r="C33" s="18" t="n">
        <v>8.25</v>
      </c>
      <c r="D33" s="18" t="n">
        <v>8</v>
      </c>
      <c r="E33" s="18" t="n">
        <v>8</v>
      </c>
      <c r="F33" s="18" t="n">
        <v>8</v>
      </c>
      <c r="G33" s="19" t="n">
        <v>7.61</v>
      </c>
    </row>
    <row r="34" customFormat="false" ht="15" hidden="false" customHeight="false" outlineLevel="0" collapsed="false">
      <c r="A34" s="20" t="s">
        <v>768</v>
      </c>
      <c r="B34" s="21" t="n">
        <v>1</v>
      </c>
      <c r="C34" s="21" t="n">
        <v>7.8</v>
      </c>
      <c r="D34" s="21" t="n">
        <v>4</v>
      </c>
      <c r="E34" s="21" t="n">
        <v>7.5</v>
      </c>
      <c r="F34" s="21" t="n">
        <v>7.5</v>
      </c>
      <c r="G34" s="22" t="n">
        <v>6.08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25"/>
  </cols>
  <sheetData>
    <row r="1" customFormat="false" ht="34.5" hidden="false" customHeight="true" outlineLevel="0" collapsed="false">
      <c r="A1" s="23" t="s">
        <v>809</v>
      </c>
      <c r="B1" s="23"/>
      <c r="C1" s="23"/>
      <c r="D1" s="23"/>
    </row>
    <row r="2" customFormat="false" ht="17.15" hidden="false" customHeight="false" outlineLevel="0" collapsed="false">
      <c r="A2" s="24" t="s">
        <v>810</v>
      </c>
      <c r="B2" s="24" t="s">
        <v>811</v>
      </c>
      <c r="C2" s="24" t="s">
        <v>812</v>
      </c>
      <c r="D2" s="24" t="s">
        <v>813</v>
      </c>
    </row>
    <row r="3" customFormat="false" ht="15" hidden="false" customHeight="false" outlineLevel="0" collapsed="false">
      <c r="A3" s="25" t="s">
        <v>814</v>
      </c>
      <c r="B3" s="18" t="n">
        <v>15</v>
      </c>
      <c r="C3" s="25" t="s">
        <v>815</v>
      </c>
      <c r="D3" s="25" t="s">
        <v>816</v>
      </c>
    </row>
    <row r="4" customFormat="false" ht="15" hidden="false" customHeight="false" outlineLevel="0" collapsed="false">
      <c r="A4" s="26" t="s">
        <v>817</v>
      </c>
      <c r="B4" s="21" t="n">
        <v>8</v>
      </c>
      <c r="C4" s="26" t="s">
        <v>818</v>
      </c>
      <c r="D4" s="26" t="s">
        <v>819</v>
      </c>
    </row>
    <row r="5" customFormat="false" ht="15" hidden="false" customHeight="false" outlineLevel="0" collapsed="false">
      <c r="A5" s="25" t="s">
        <v>820</v>
      </c>
      <c r="B5" s="18" t="n">
        <v>8</v>
      </c>
      <c r="C5" s="25" t="s">
        <v>821</v>
      </c>
      <c r="D5" s="25" t="s">
        <v>822</v>
      </c>
    </row>
    <row r="6" customFormat="false" ht="15" hidden="false" customHeight="false" outlineLevel="0" collapsed="false">
      <c r="A6" s="26" t="s">
        <v>823</v>
      </c>
      <c r="B6" s="21" t="n">
        <v>10</v>
      </c>
      <c r="C6" s="26" t="s">
        <v>824</v>
      </c>
      <c r="D6" s="26" t="s">
        <v>825</v>
      </c>
    </row>
    <row r="7" customFormat="false" ht="15" hidden="false" customHeight="false" outlineLevel="0" collapsed="false">
      <c r="A7" s="25" t="s">
        <v>826</v>
      </c>
      <c r="B7" s="18" t="n">
        <v>8</v>
      </c>
      <c r="C7" s="25" t="s">
        <v>827</v>
      </c>
      <c r="D7" s="25" t="s">
        <v>828</v>
      </c>
    </row>
    <row r="8" customFormat="false" ht="15" hidden="false" customHeight="false" outlineLevel="0" collapsed="false">
      <c r="A8" s="26" t="s">
        <v>829</v>
      </c>
      <c r="B8" s="21" t="n">
        <v>10</v>
      </c>
      <c r="C8" s="26" t="s">
        <v>830</v>
      </c>
      <c r="D8" s="26" t="s">
        <v>831</v>
      </c>
    </row>
    <row r="9" customFormat="false" ht="15" hidden="false" customHeight="false" outlineLevel="0" collapsed="false">
      <c r="A9" s="25" t="s">
        <v>832</v>
      </c>
      <c r="B9" s="18" t="n">
        <v>5</v>
      </c>
      <c r="C9" s="25" t="s">
        <v>833</v>
      </c>
      <c r="D9" s="25" t="s">
        <v>834</v>
      </c>
    </row>
    <row r="10" customFormat="false" ht="15" hidden="false" customHeight="false" outlineLevel="0" collapsed="false">
      <c r="A10" s="26" t="s">
        <v>835</v>
      </c>
      <c r="B10" s="21" t="n">
        <v>15</v>
      </c>
      <c r="C10" s="26" t="s">
        <v>836</v>
      </c>
      <c r="D10" s="26" t="s">
        <v>837</v>
      </c>
    </row>
    <row r="11" customFormat="false" ht="15" hidden="false" customHeight="false" outlineLevel="0" collapsed="false">
      <c r="A11" s="25" t="s">
        <v>838</v>
      </c>
      <c r="B11" s="18" t="n">
        <v>12</v>
      </c>
      <c r="C11" s="25" t="s">
        <v>839</v>
      </c>
      <c r="D11" s="25" t="s">
        <v>840</v>
      </c>
    </row>
    <row r="12" customFormat="false" ht="15" hidden="false" customHeight="false" outlineLevel="0" collapsed="false">
      <c r="A12" s="26" t="s">
        <v>20</v>
      </c>
      <c r="B12" s="21" t="n">
        <v>9</v>
      </c>
      <c r="C12" s="26" t="s">
        <v>841</v>
      </c>
      <c r="D12" s="26" t="s">
        <v>842</v>
      </c>
    </row>
    <row r="14" customFormat="false" ht="17.15" hidden="false" customHeight="false" outlineLevel="0" collapsed="false">
      <c r="A14" s="27" t="s">
        <v>843</v>
      </c>
      <c r="B14" s="27"/>
      <c r="C14" s="27"/>
      <c r="D14" s="27"/>
    </row>
    <row r="15" customFormat="false" ht="15" hidden="false" customHeight="false" outlineLevel="0" collapsed="false">
      <c r="A15" s="28" t="s">
        <v>844</v>
      </c>
      <c r="B15" s="28"/>
      <c r="C15" s="28"/>
      <c r="D15" s="28"/>
    </row>
    <row r="16" customFormat="false" ht="15" hidden="false" customHeight="false" outlineLevel="0" collapsed="false">
      <c r="A16" s="28" t="s">
        <v>845</v>
      </c>
      <c r="B16" s="28"/>
      <c r="C16" s="28"/>
      <c r="D16" s="28"/>
    </row>
  </sheetData>
  <mergeCells count="4">
    <mergeCell ref="A1:D1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2026-04-11T15:03:20Z</dcterms:created>
  <dc:creator>openpyxl</dc:creator>
  <dc:description/>
  <dc:language>en-US</dc:language>
  <cp:lastModifiedBy/>
  <dcterms:modified xsi:type="dcterms:W3CDTF">2026-04-11T15:03:21Z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