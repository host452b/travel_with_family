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球景区综合评估" sheetId="1" state="visible" r:id="rId3"/>
    <sheet name="各国统计汇总" sheetId="2" state="visible" r:id="rId4"/>
    <sheet name="评分说明·安全指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<sst xmlns="http://schemas.openxmlformats.org/spreadsheetml/2006/main" count="2272" uniqueCount="890">
  <si>
    <t xml:space="preserve">全球顶级景区综合量化评估（含安全度·儿童年龄适配·签证友好版）</t>
  </si>
  <si>
    <t xml:space="preserve">共 186 个景区 | 评分满分10分 | ⚠ 安全评分基于GPI全球和平指数+旅游安全报告+华人社区反馈 | 签证截至2026年4月</t>
  </si>
  <si>
    <t xml:space="preserve">序号</t>
  </si>
  <si>
    <t xml:space="preserve">区域</t>
  </si>
  <si>
    <t xml:space="preserve">国家</t>
  </si>
  <si>
    <t xml:space="preserve">城市</t>
  </si>
  <si>
    <t xml:space="preserve">景区名(中)</t>
  </si>
  <si>
    <t xml:space="preserve">景区名(英)</t>
  </si>
  <si>
    <t xml:space="preserve">类型</t>
  </si>
  <si>
    <t xml:space="preserve">中国签证
政策</t>
  </si>
  <si>
    <t xml:space="preserve">⚠旅游
安全度</t>
  </si>
  <si>
    <t xml:space="preserve">⚠华人
安全度</t>
  </si>
  <si>
    <t xml:space="preserve">游客
口碑</t>
  </si>
  <si>
    <t xml:space="preserve">亲子
友好</t>
  </si>
  <si>
    <t xml:space="preserve">老人
友好</t>
  </si>
  <si>
    <t xml:space="preserve">夫妻
友好</t>
  </si>
  <si>
    <t xml:space="preserve">一人游
友好</t>
  </si>
  <si>
    <t xml:space="preserve">游览
时长h</t>
  </si>
  <si>
    <t xml:space="preserve">日均预算
¥/天</t>
  </si>
  <si>
    <t xml:space="preserve">从中国
交通达性</t>
  </si>
  <si>
    <t xml:space="preserve">全年
适宜度</t>
  </si>
  <si>
    <t xml:space="preserve">最佳季节</t>
  </si>
  <si>
    <t xml:space="preserve">最佳月份</t>
  </si>
  <si>
    <t xml:space="preserve">文化生态
独特价值</t>
  </si>
  <si>
    <t xml:space="preserve">基础设施
与配套</t>
  </si>
  <si>
    <t xml:space="preserve">性价比</t>
  </si>
  <si>
    <t xml:space="preserve">👶适合儿童
年龄段</t>
  </si>
  <si>
    <t xml:space="preserve">儿童出行
备注</t>
  </si>
  <si>
    <t xml:space="preserve">综合加权
满意度</t>
  </si>
  <si>
    <t xml:space="preserve">东亚</t>
  </si>
  <si>
    <t xml:space="preserve">日本</t>
  </si>
  <si>
    <t xml:space="preserve">东京</t>
  </si>
  <si>
    <t xml:space="preserve">浅草寺·雷门</t>
  </si>
  <si>
    <t xml:space="preserve">Senso-ji Temple</t>
  </si>
  <si>
    <t xml:space="preserve">历史文化</t>
  </si>
  <si>
    <t xml:space="preserve">免签30天</t>
  </si>
  <si>
    <t xml:space="preserve">四季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</si>
  <si>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</si>
  <si>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全年龄</t>
  </si>
  <si>
    <t xml:space="preserve">轻松游览，婴儿车可通行</t>
  </si>
  <si>
    <t xml:space="preserve">京都</t>
  </si>
  <si>
    <t xml:space="preserve">清水寺</t>
  </si>
  <si>
    <t xml:space="preserve">Kiyomizu-dera</t>
  </si>
  <si>
    <t xml:space="preserve">春秋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</si>
  <si>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/11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</si>
  <si>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3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</si>
  <si>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游览轻松，幼儿可参与</t>
  </si>
  <si>
    <t xml:space="preserve">伏见稻荷大社</t>
  </si>
  <si>
    <t xml:space="preserve">Fushimi Inari Shrine</t>
  </si>
  <si>
    <t xml:space="preserve">宗教文化</t>
  </si>
  <si>
    <r>
      <rPr>
        <b val="true"/>
        <sz val="9"/>
        <color rgb="FF4A148C"/>
        <rFont val="Arial"/>
        <family val="0"/>
        <charset val="1"/>
      </rPr>
      <t xml:space="preserve">6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</si>
  <si>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步行量中等</t>
  </si>
  <si>
    <t xml:space="preserve">大阪</t>
  </si>
  <si>
    <t xml:space="preserve">大阪城天守阁·道顿堀</t>
  </si>
  <si>
    <t xml:space="preserve">Osaka Castle &amp; Dotonbori</t>
  </si>
  <si>
    <t xml:space="preserve">历史美食</t>
  </si>
  <si>
    <r>
      <rPr>
        <b val="true"/>
        <sz val="9"/>
        <color rgb="FF4A148C"/>
        <rFont val="Arial"/>
        <family val="0"/>
        <charset val="1"/>
      </rPr>
      <t xml:space="preserve">3-14</t>
    </r>
    <r>
      <rPr>
        <b val="true"/>
        <sz val="9"/>
        <color rgb="FF4A148C"/>
        <rFont val="Noto Sans CJK SC"/>
        <family val="2"/>
      </rPr>
      <t xml:space="preserve">岁</t>
    </r>
  </si>
  <si>
    <t xml:space="preserve">难度适中，有儿童友好设施</t>
  </si>
  <si>
    <t xml:space="preserve">奈良</t>
  </si>
  <si>
    <t xml:space="preserve">奈良公园·东大寺</t>
  </si>
  <si>
    <t xml:space="preserve">Nara Park &amp; Todai-ji</t>
  </si>
  <si>
    <t xml:space="preserve">历史生态</t>
  </si>
  <si>
    <t xml:space="preserve">富士山</t>
  </si>
  <si>
    <t xml:space="preserve">Mount Fuji</t>
  </si>
  <si>
    <t xml:space="preserve">自然山岳</t>
  </si>
  <si>
    <t xml:space="preserve">夏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</si>
  <si>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</si>
  <si>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10</t>
    </r>
    <r>
      <rPr>
        <b val="true"/>
        <sz val="9"/>
        <color rgb="FF4A148C"/>
        <rFont val="Noto Sans CJK SC"/>
        <family val="2"/>
      </rPr>
      <t xml:space="preserve">岁以上</t>
    </r>
  </si>
  <si>
    <r>
      <rPr>
        <sz val="8"/>
        <color rgb="FF666666"/>
        <rFont val="Noto Sans CJK SC"/>
        <family val="2"/>
      </rPr>
      <t xml:space="preserve">登山强度大，</t>
    </r>
    <r>
      <rPr>
        <sz val="8"/>
        <color rgb="FF666666"/>
        <rFont val="Arial"/>
        <family val="0"/>
        <charset val="1"/>
      </rPr>
      <t xml:space="preserve">10</t>
    </r>
    <r>
      <rPr>
        <sz val="8"/>
        <color rgb="FF666666"/>
        <rFont val="Noto Sans CJK SC"/>
        <family val="2"/>
      </rPr>
      <t xml:space="preserve">岁以下不建议</t>
    </r>
  </si>
  <si>
    <t xml:space="preserve">广岛</t>
  </si>
  <si>
    <t xml:space="preserve">严岛神社(宫岛)</t>
  </si>
  <si>
    <t xml:space="preserve">Itsukushima Shrine</t>
  </si>
  <si>
    <t xml:space="preserve">北海道</t>
  </si>
  <si>
    <t xml:space="preserve">富良野·美瑛</t>
  </si>
  <si>
    <t xml:space="preserve">Furano &amp; Biei</t>
  </si>
  <si>
    <t xml:space="preserve">自然花田</t>
  </si>
  <si>
    <r>
      <rPr>
        <sz val="9"/>
        <rFont val="Arial"/>
        <family val="0"/>
        <charset val="1"/>
      </rPr>
      <t xml:space="preserve">6-8</t>
    </r>
    <r>
      <rPr>
        <sz val="9"/>
        <rFont val="Noto Sans CJK SC"/>
        <family val="2"/>
      </rPr>
      <t xml:space="preserve">月</t>
    </r>
  </si>
  <si>
    <t xml:space="preserve">花田平坦，婴儿车可通行</t>
  </si>
  <si>
    <t xml:space="preserve">冲绳</t>
  </si>
  <si>
    <t xml:space="preserve">冲绳美丽海水族馆</t>
  </si>
  <si>
    <t xml:space="preserve">Okinawa Churaumi Aquarium</t>
  </si>
  <si>
    <t xml:space="preserve">海洋主题</t>
  </si>
  <si>
    <t xml:space="preserve">春秋冬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</si>
  <si>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/10-12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</si>
  <si>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2-12</t>
    </r>
    <r>
      <rPr>
        <b val="true"/>
        <sz val="9"/>
        <color rgb="FF4A148C"/>
        <rFont val="Noto Sans CJK SC"/>
        <family val="2"/>
      </rPr>
      <t xml:space="preserve">岁</t>
    </r>
  </si>
  <si>
    <t xml:space="preserve">海洋动物，幼儿也能享受</t>
  </si>
  <si>
    <t xml:space="preserve">金泽</t>
  </si>
  <si>
    <t xml:space="preserve">兼六园</t>
  </si>
  <si>
    <t xml:space="preserve">Kenroku-en Garden</t>
  </si>
  <si>
    <t xml:space="preserve">园林景观</t>
  </si>
  <si>
    <t xml:space="preserve">长野</t>
  </si>
  <si>
    <t xml:space="preserve">上高地</t>
  </si>
  <si>
    <t xml:space="preserve">Kamikochi</t>
  </si>
  <si>
    <t xml:space="preserve">自然山谷</t>
  </si>
  <si>
    <t xml:space="preserve">夏秋</t>
  </si>
  <si>
    <r>
      <rPr>
        <sz val="9"/>
        <rFont val="Arial"/>
        <family val="0"/>
        <charset val="1"/>
      </rPr>
      <t xml:space="preserve">6-10</t>
    </r>
    <r>
      <rPr>
        <sz val="9"/>
        <rFont val="Noto Sans CJK SC"/>
        <family val="2"/>
      </rPr>
      <t xml:space="preserve">月</t>
    </r>
  </si>
  <si>
    <r>
      <rPr>
        <b val="true"/>
        <sz val="9"/>
        <color rgb="FF4A148C"/>
        <rFont val="Arial"/>
        <family val="0"/>
        <charset val="1"/>
      </rPr>
      <t xml:space="preserve">8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</si>
  <si>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山地徒步，幼儿不宜</t>
  </si>
  <si>
    <t xml:space="preserve">箱根</t>
  </si>
  <si>
    <t xml:space="preserve">箱根温泉·芦之湖</t>
  </si>
  <si>
    <t xml:space="preserve">Hakone Onsen</t>
  </si>
  <si>
    <t xml:space="preserve">温泉度假</t>
  </si>
  <si>
    <t xml:space="preserve">秋冬</t>
  </si>
  <si>
    <r>
      <rPr>
        <sz val="9"/>
        <rFont val="Arial"/>
        <family val="0"/>
        <charset val="1"/>
      </rPr>
      <t xml:space="preserve">10-3</t>
    </r>
    <r>
      <rPr>
        <sz val="9"/>
        <rFont val="Noto Sans CJK SC"/>
        <family val="2"/>
      </rPr>
      <t xml:space="preserve">月</t>
    </r>
  </si>
  <si>
    <t xml:space="preserve">白川乡</t>
  </si>
  <si>
    <t xml:space="preserve">白川乡合掌造</t>
  </si>
  <si>
    <t xml:space="preserve">Shirakawa-go</t>
  </si>
  <si>
    <t xml:space="preserve">历史村落</t>
  </si>
  <si>
    <t xml:space="preserve">冬春</t>
  </si>
  <si>
    <r>
      <rPr>
        <sz val="9"/>
        <rFont val="Arial"/>
        <family val="0"/>
        <charset val="1"/>
      </rPr>
      <t xml:space="preserve">1-3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</si>
  <si>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镰仓</t>
  </si>
  <si>
    <t xml:space="preserve">镰仓大佛·江之岛</t>
  </si>
  <si>
    <t xml:space="preserve">Kamakura</t>
  </si>
  <si>
    <t xml:space="preserve">历史海岸</t>
  </si>
  <si>
    <t xml:space="preserve">春夏秋</t>
  </si>
  <si>
    <r>
      <rPr>
        <sz val="9"/>
        <rFont val="Arial"/>
        <family val="0"/>
        <charset val="1"/>
      </rPr>
      <t xml:space="preserve">3-10</t>
    </r>
    <r>
      <rPr>
        <sz val="9"/>
        <rFont val="Noto Sans CJK SC"/>
        <family val="2"/>
      </rPr>
      <t xml:space="preserve">月</t>
    </r>
  </si>
  <si>
    <t xml:space="preserve">日光</t>
  </si>
  <si>
    <t xml:space="preserve">日光东照宫</t>
  </si>
  <si>
    <t xml:space="preserve">Nikko Toshogu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</si>
  <si>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</si>
  <si>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高野山</t>
  </si>
  <si>
    <t xml:space="preserve">Mount Koya</t>
  </si>
  <si>
    <t xml:space="preserve">秋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</si>
  <si>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</si>
  <si>
    <t xml:space="preserve">中等体力要求</t>
  </si>
  <si>
    <t xml:space="preserve">名古屋</t>
  </si>
  <si>
    <t xml:space="preserve">名古屋城</t>
  </si>
  <si>
    <t xml:space="preserve">Nagoya Castle</t>
  </si>
  <si>
    <t xml:space="preserve">春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</si>
  <si>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</si>
  <si>
    <t xml:space="preserve">纪伊半岛</t>
  </si>
  <si>
    <t xml:space="preserve">熊野古道</t>
  </si>
  <si>
    <t xml:space="preserve">Kumano Kodo</t>
  </si>
  <si>
    <t xml:space="preserve">古道徒步</t>
  </si>
  <si>
    <r>
      <rPr>
        <b val="true"/>
        <sz val="9"/>
        <color rgb="FF4A148C"/>
        <rFont val="Arial"/>
        <family val="0"/>
        <charset val="1"/>
      </rPr>
      <t xml:space="preserve">12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</si>
  <si>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长距离徒步，需体力</t>
  </si>
  <si>
    <t xml:space="preserve">屋久岛</t>
  </si>
  <si>
    <t xml:space="preserve">Yakushima</t>
  </si>
  <si>
    <t xml:space="preserve">自然森林</t>
  </si>
  <si>
    <t xml:space="preserve">春夏</t>
  </si>
  <si>
    <r>
      <rPr>
        <sz val="9"/>
        <rFont val="Arial"/>
        <family val="0"/>
        <charset val="1"/>
      </rPr>
      <t xml:space="preserve">3-7</t>
    </r>
    <r>
      <rPr>
        <sz val="9"/>
        <rFont val="Noto Sans CJK SC"/>
        <family val="2"/>
      </rPr>
      <t xml:space="preserve">月</t>
    </r>
  </si>
  <si>
    <t xml:space="preserve">原始森林徒步，路况复杂</t>
  </si>
  <si>
    <t xml:space="preserve">别府</t>
  </si>
  <si>
    <t xml:space="preserve">别府温泉地狱巡游</t>
  </si>
  <si>
    <t xml:space="preserve">Beppu Hells</t>
  </si>
  <si>
    <t xml:space="preserve">温泉地质</t>
  </si>
  <si>
    <t xml:space="preserve">秋冬春</t>
  </si>
  <si>
    <r>
      <rPr>
        <sz val="9"/>
        <rFont val="Arial"/>
        <family val="0"/>
        <charset val="1"/>
      </rPr>
      <t xml:space="preserve">10-4</t>
    </r>
    <r>
      <rPr>
        <sz val="9"/>
        <rFont val="Noto Sans CJK SC"/>
        <family val="2"/>
      </rPr>
      <t xml:space="preserve">月</t>
    </r>
  </si>
  <si>
    <t xml:space="preserve">韩国</t>
  </si>
  <si>
    <t xml:space="preserve">首尔</t>
  </si>
  <si>
    <t xml:space="preserve">景福宫</t>
  </si>
  <si>
    <t xml:space="preserve">Gyeongbokgung Palace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</si>
  <si>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</si>
  <si>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北村韩屋村</t>
  </si>
  <si>
    <t xml:space="preserve">Bukchon Hanok Village</t>
  </si>
  <si>
    <t xml:space="preserve">历史街区</t>
  </si>
  <si>
    <t xml:space="preserve">济州岛</t>
  </si>
  <si>
    <t xml:space="preserve">汉拿山国立公园</t>
  </si>
  <si>
    <t xml:space="preserve">Hallasan National Park</t>
  </si>
  <si>
    <r>
      <rPr>
        <sz val="8"/>
        <color rgb="FF666666"/>
        <rFont val="Noto Sans CJK SC"/>
        <family val="2"/>
      </rPr>
      <t xml:space="preserve">登山</t>
    </r>
    <r>
      <rPr>
        <sz val="8"/>
        <color rgb="FF666666"/>
        <rFont val="Arial"/>
        <family val="0"/>
        <charset val="1"/>
      </rPr>
      <t xml:space="preserve">5-7</t>
    </r>
    <r>
      <rPr>
        <sz val="8"/>
        <color rgb="FF666666"/>
        <rFont val="Noto Sans CJK SC"/>
        <family val="2"/>
      </rPr>
      <t xml:space="preserve">小时，需体力</t>
    </r>
  </si>
  <si>
    <t xml:space="preserve">城山日出峰</t>
  </si>
  <si>
    <t xml:space="preserve">Seongsan Ilchulbong</t>
  </si>
  <si>
    <t xml:space="preserve">自然地质</t>
  </si>
  <si>
    <r>
      <rPr>
        <sz val="9"/>
        <rFont val="Arial"/>
        <family val="0"/>
        <charset val="1"/>
      </rPr>
      <t xml:space="preserve">4-10</t>
    </r>
    <r>
      <rPr>
        <sz val="9"/>
        <rFont val="Noto Sans CJK SC"/>
        <family val="2"/>
      </rPr>
      <t xml:space="preserve">月</t>
    </r>
  </si>
  <si>
    <t xml:space="preserve">庆州</t>
  </si>
  <si>
    <t xml:space="preserve">庆州历史遗迹区</t>
  </si>
  <si>
    <t xml:space="preserve">Gyeongju Historic Areas</t>
  </si>
  <si>
    <t xml:space="preserve">历史遗迹</t>
  </si>
  <si>
    <t xml:space="preserve">有一定步行量，需能独立行走</t>
  </si>
  <si>
    <t xml:space="preserve">釜山</t>
  </si>
  <si>
    <t xml:space="preserve">海云台·甘川文化村</t>
  </si>
  <si>
    <t xml:space="preserve">Haeundae &amp; Gamcheon</t>
  </si>
  <si>
    <t xml:space="preserve">海滨文化</t>
  </si>
  <si>
    <t xml:space="preserve">全州</t>
  </si>
  <si>
    <t xml:space="preserve">全州韩屋村</t>
  </si>
  <si>
    <t xml:space="preserve">Jeonju Hanok Village</t>
  </si>
  <si>
    <t xml:space="preserve">江原道</t>
  </si>
  <si>
    <t xml:space="preserve">雪岳山国立公园</t>
  </si>
  <si>
    <t xml:space="preserve">Seoraksan National Park</t>
  </si>
  <si>
    <r>
      <rPr>
        <sz val="9"/>
        <rFont val="Arial"/>
        <family val="0"/>
        <charset val="1"/>
      </rPr>
      <t xml:space="preserve">9-10</t>
    </r>
    <r>
      <rPr>
        <sz val="9"/>
        <rFont val="Noto Sans CJK SC"/>
        <family val="2"/>
      </rPr>
      <t xml:space="preserve">月</t>
    </r>
  </si>
  <si>
    <t xml:space="preserve">山地徒步，幼儿较吃力</t>
  </si>
  <si>
    <t xml:space="preserve">安东</t>
  </si>
  <si>
    <t xml:space="preserve">河回村</t>
  </si>
  <si>
    <t xml:space="preserve">Hahoe Folk Village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</si>
  <si>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</si>
  <si>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南山塔·明洞</t>
  </si>
  <si>
    <t xml:space="preserve">Namsan Tower &amp; Myeongdong</t>
  </si>
  <si>
    <t xml:space="preserve">城市地标</t>
  </si>
  <si>
    <r>
      <rPr>
        <sz val="9"/>
        <rFont val="Arial"/>
        <family val="0"/>
        <charset val="1"/>
      </rPr>
      <t xml:space="preserve">3-11</t>
    </r>
    <r>
      <rPr>
        <sz val="9"/>
        <rFont val="Noto Sans CJK SC"/>
        <family val="2"/>
      </rPr>
      <t xml:space="preserve">月</t>
    </r>
  </si>
  <si>
    <t xml:space="preserve">仁川</t>
  </si>
  <si>
    <t xml:space="preserve">江华岛</t>
  </si>
  <si>
    <t xml:space="preserve">Ganghwa Island</t>
  </si>
  <si>
    <t xml:space="preserve">历史自然</t>
  </si>
  <si>
    <t xml:space="preserve">丽水</t>
  </si>
  <si>
    <t xml:space="preserve">丽水海洋公园</t>
  </si>
  <si>
    <t xml:space="preserve">Yeosu Expo &amp; Maritime</t>
  </si>
  <si>
    <t xml:space="preserve">海洋文化</t>
  </si>
  <si>
    <t xml:space="preserve">东南亚</t>
  </si>
  <si>
    <t xml:space="preserve">泰国</t>
  </si>
  <si>
    <t xml:space="preserve">曼谷</t>
  </si>
  <si>
    <t xml:space="preserve">大皇宫·玉佛寺</t>
  </si>
  <si>
    <t xml:space="preserve">Grand Palace &amp; Wat Phra Kaew</t>
  </si>
  <si>
    <t xml:space="preserve">互免签证</t>
  </si>
  <si>
    <r>
      <rPr>
        <sz val="9"/>
        <rFont val="Arial"/>
        <family val="0"/>
        <charset val="1"/>
      </rPr>
      <t xml:space="preserve">11-3</t>
    </r>
    <r>
      <rPr>
        <sz val="9"/>
        <rFont val="Noto Sans CJK SC"/>
        <family val="2"/>
      </rPr>
      <t xml:space="preserve">月</t>
    </r>
  </si>
  <si>
    <t xml:space="preserve">清迈</t>
  </si>
  <si>
    <t xml:space="preserve">素贴山·双龙寺</t>
  </si>
  <si>
    <t xml:space="preserve">Doi Suthep</t>
  </si>
  <si>
    <t xml:space="preserve">冬</t>
  </si>
  <si>
    <r>
      <rPr>
        <sz val="9"/>
        <rFont val="Arial"/>
        <family val="0"/>
        <charset val="1"/>
      </rPr>
      <t xml:space="preserve">11-2</t>
    </r>
    <r>
      <rPr>
        <sz val="9"/>
        <rFont val="Noto Sans CJK SC"/>
        <family val="2"/>
      </rPr>
      <t xml:space="preserve">月</t>
    </r>
  </si>
  <si>
    <t xml:space="preserve">清迈古城</t>
  </si>
  <si>
    <t xml:space="preserve">Chiang Mai Old City</t>
  </si>
  <si>
    <t xml:space="preserve">平坦古城，节奏慢适合带娃</t>
  </si>
  <si>
    <t xml:space="preserve">普吉岛</t>
  </si>
  <si>
    <t xml:space="preserve">Phuket Island</t>
  </si>
  <si>
    <t xml:space="preserve">海岛度假</t>
  </si>
  <si>
    <r>
      <rPr>
        <sz val="9"/>
        <rFont val="Arial"/>
        <family val="0"/>
        <charset val="1"/>
      </rPr>
      <t xml:space="preserve">11-4</t>
    </r>
    <r>
      <rPr>
        <sz val="9"/>
        <rFont val="Noto Sans CJK SC"/>
        <family val="2"/>
      </rPr>
      <t xml:space="preserve">月</t>
    </r>
  </si>
  <si>
    <t xml:space="preserve">甲米</t>
  </si>
  <si>
    <t xml:space="preserve">甲米·皮皮岛</t>
  </si>
  <si>
    <t xml:space="preserve">Krabi &amp; Phi Phi Islands</t>
  </si>
  <si>
    <t xml:space="preserve">海岛山水</t>
  </si>
  <si>
    <t xml:space="preserve">有一定体力要求</t>
  </si>
  <si>
    <t xml:space="preserve">清莱</t>
  </si>
  <si>
    <t xml:space="preserve">白庙·蓝庙·黑屋</t>
  </si>
  <si>
    <t xml:space="preserve">White/Blue Temple &amp; Black House</t>
  </si>
  <si>
    <t xml:space="preserve">宗教艺术</t>
  </si>
  <si>
    <t xml:space="preserve">大城</t>
  </si>
  <si>
    <t xml:space="preserve">大城遗址</t>
  </si>
  <si>
    <t xml:space="preserve">Ayutthaya Historical Park</t>
  </si>
  <si>
    <t xml:space="preserve">苏梅岛</t>
  </si>
  <si>
    <t xml:space="preserve">Koh Samui</t>
  </si>
  <si>
    <t xml:space="preserve">冬春夏</t>
  </si>
  <si>
    <r>
      <rPr>
        <sz val="9"/>
        <rFont val="Arial"/>
        <family val="0"/>
        <charset val="1"/>
      </rPr>
      <t xml:space="preserve">12-8</t>
    </r>
    <r>
      <rPr>
        <sz val="9"/>
        <rFont val="Noto Sans CJK SC"/>
        <family val="2"/>
      </rPr>
      <t xml:space="preserve">月</t>
    </r>
  </si>
  <si>
    <t xml:space="preserve">芭提雅</t>
  </si>
  <si>
    <t xml:space="preserve">Pattaya</t>
  </si>
  <si>
    <t xml:space="preserve">海滨娱乐</t>
  </si>
  <si>
    <t xml:space="preserve">华欣</t>
  </si>
  <si>
    <t xml:space="preserve">Hua Hin</t>
  </si>
  <si>
    <t xml:space="preserve">海滨小城</t>
  </si>
  <si>
    <t xml:space="preserve">素可泰</t>
  </si>
  <si>
    <t xml:space="preserve">素可泰历史公园</t>
  </si>
  <si>
    <t xml:space="preserve">Sukhothai Historical Park</t>
  </si>
  <si>
    <t xml:space="preserve">拜县</t>
  </si>
  <si>
    <t xml:space="preserve">Pai</t>
  </si>
  <si>
    <t xml:space="preserve">自然小镇</t>
  </si>
  <si>
    <t xml:space="preserve">新加坡</t>
  </si>
  <si>
    <t xml:space="preserve">滨海湾花园</t>
  </si>
  <si>
    <t xml:space="preserve">Gardens by the Bay</t>
  </si>
  <si>
    <t xml:space="preserve">现代园林</t>
  </si>
  <si>
    <t xml:space="preserve">全年</t>
  </si>
  <si>
    <r>
      <rPr>
        <b val="true"/>
        <sz val="9"/>
        <color rgb="FF4A148C"/>
        <rFont val="Arial"/>
        <family val="0"/>
        <charset val="1"/>
      </rPr>
      <t xml:space="preserve">2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</si>
  <si>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平坦好走，灯光秀幼儿也爱</t>
  </si>
  <si>
    <t xml:space="preserve">圣淘沙·环球影城</t>
  </si>
  <si>
    <t xml:space="preserve">Sentosa &amp; USS</t>
  </si>
  <si>
    <t xml:space="preserve">主题乐园</t>
  </si>
  <si>
    <r>
      <rPr>
        <b val="true"/>
        <sz val="9"/>
        <color rgb="FF4A148C"/>
        <rFont val="Arial"/>
        <family val="0"/>
        <charset val="1"/>
      </rPr>
      <t xml:space="preserve">4-14</t>
    </r>
    <r>
      <rPr>
        <b val="true"/>
        <sz val="9"/>
        <color rgb="FF4A148C"/>
        <rFont val="Noto Sans CJK SC"/>
        <family val="2"/>
      </rPr>
      <t xml:space="preserve">岁</t>
    </r>
  </si>
  <si>
    <r>
      <rPr>
        <sz val="8"/>
        <color rgb="FF666666"/>
        <rFont val="Noto Sans CJK SC"/>
        <family val="2"/>
      </rPr>
      <t xml:space="preserve">部分项目有身高限制</t>
    </r>
    <r>
      <rPr>
        <sz val="8"/>
        <color rgb="FF666666"/>
        <rFont val="Arial"/>
        <family val="0"/>
        <charset val="1"/>
      </rPr>
      <t xml:space="preserve">(102-122cm)</t>
    </r>
  </si>
  <si>
    <t xml:space="preserve">鱼尾狮·滨海湾金沙</t>
  </si>
  <si>
    <t xml:space="preserve">Merlion &amp; Marina Bay Sands</t>
  </si>
  <si>
    <t xml:space="preserve">城市地标，步行平坦</t>
  </si>
  <si>
    <t xml:space="preserve">夜间动物园</t>
  </si>
  <si>
    <t xml:space="preserve">Night Safari</t>
  </si>
  <si>
    <t xml:space="preserve">生态夜游</t>
  </si>
  <si>
    <r>
      <rPr>
        <b val="true"/>
        <sz val="9"/>
        <color rgb="FF4A148C"/>
        <rFont val="Arial"/>
        <family val="0"/>
        <charset val="1"/>
      </rPr>
      <t xml:space="preserve">4-12</t>
    </r>
    <r>
      <rPr>
        <b val="true"/>
        <sz val="9"/>
        <color rgb="FF4A148C"/>
        <rFont val="Noto Sans CJK SC"/>
        <family val="2"/>
      </rPr>
      <t xml:space="preserve">岁</t>
    </r>
  </si>
  <si>
    <t xml:space="preserve">夜间游览，太小可能害怕</t>
  </si>
  <si>
    <t xml:space="preserve">小印度·牛车水·甘榜格南</t>
  </si>
  <si>
    <t xml:space="preserve">Little India &amp; Chinatown</t>
  </si>
  <si>
    <t xml:space="preserve">多元文化</t>
  </si>
  <si>
    <t xml:space="preserve">街区漫步，婴儿车可通行</t>
  </si>
  <si>
    <t xml:space="preserve">马来西亚</t>
  </si>
  <si>
    <t xml:space="preserve">吉隆坡</t>
  </si>
  <si>
    <t xml:space="preserve">双子塔·黑风洞</t>
  </si>
  <si>
    <t xml:space="preserve">Petronas &amp; Batu Caves</t>
  </si>
  <si>
    <r>
      <rPr>
        <sz val="9"/>
        <rFont val="Arial"/>
        <family val="0"/>
        <charset val="1"/>
      </rPr>
      <t xml:space="preserve">3-9</t>
    </r>
    <r>
      <rPr>
        <sz val="9"/>
        <rFont val="Noto Sans CJK SC"/>
        <family val="2"/>
      </rPr>
      <t xml:space="preserve">月</t>
    </r>
  </si>
  <si>
    <t xml:space="preserve">槟城</t>
  </si>
  <si>
    <t xml:space="preserve">乔治城历史区</t>
  </si>
  <si>
    <t xml:space="preserve">George Town Heritage</t>
  </si>
  <si>
    <t xml:space="preserve">少雨季</t>
  </si>
  <si>
    <r>
      <rPr>
        <sz val="9"/>
        <rFont val="Arial"/>
        <family val="0"/>
        <charset val="1"/>
      </rPr>
      <t xml:space="preserve">12-3</t>
    </r>
    <r>
      <rPr>
        <sz val="9"/>
        <rFont val="Noto Sans CJK SC"/>
        <family val="2"/>
      </rPr>
      <t xml:space="preserve">月</t>
    </r>
  </si>
  <si>
    <t xml:space="preserve">兰卡威</t>
  </si>
  <si>
    <t xml:space="preserve">兰卡威群岛</t>
  </si>
  <si>
    <t xml:space="preserve">Langkawi Islands</t>
  </si>
  <si>
    <t xml:space="preserve">沙巴</t>
  </si>
  <si>
    <t xml:space="preserve">京那巴鲁山·仙本那</t>
  </si>
  <si>
    <t xml:space="preserve">Mt Kinabalu &amp; Semporna</t>
  </si>
  <si>
    <t xml:space="preserve">自然山海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</si>
  <si>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</si>
  <si>
    <r>
      <rPr>
        <sz val="8"/>
        <color rgb="FF666666"/>
        <rFont val="Noto Sans CJK SC"/>
        <family val="2"/>
      </rPr>
      <t xml:space="preserve">高海拔登山，仅限</t>
    </r>
    <r>
      <rPr>
        <sz val="8"/>
        <color rgb="FF666666"/>
        <rFont val="Arial"/>
        <family val="0"/>
        <charset val="1"/>
      </rPr>
      <t xml:space="preserve">12+</t>
    </r>
  </si>
  <si>
    <t xml:space="preserve">马六甲</t>
  </si>
  <si>
    <t xml:space="preserve">马六甲历史城区</t>
  </si>
  <si>
    <t xml:space="preserve">Malacca Historic City</t>
  </si>
  <si>
    <t xml:space="preserve">沙捞越</t>
  </si>
  <si>
    <t xml:space="preserve">姆鲁国家公园</t>
  </si>
  <si>
    <t xml:space="preserve">Mulu National Park</t>
  </si>
  <si>
    <t xml:space="preserve">自然溶洞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</si>
  <si>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</si>
  <si>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体力要求较高</t>
  </si>
  <si>
    <t xml:space="preserve">云顶高原</t>
  </si>
  <si>
    <t xml:space="preserve">Genting Highlands</t>
  </si>
  <si>
    <t xml:space="preserve">度假娱乐</t>
  </si>
  <si>
    <t xml:space="preserve">怡保</t>
  </si>
  <si>
    <t xml:space="preserve">怡保旧城区</t>
  </si>
  <si>
    <t xml:space="preserve">Ipoh Old Town</t>
  </si>
  <si>
    <t xml:space="preserve">越南</t>
  </si>
  <si>
    <t xml:space="preserve">河内</t>
  </si>
  <si>
    <t xml:space="preserve">下龙湾</t>
  </si>
  <si>
    <t xml:space="preserve">Ha Long Bay</t>
  </si>
  <si>
    <t xml:space="preserve">自然海湾</t>
  </si>
  <si>
    <t xml:space="preserve">电子签证</t>
  </si>
  <si>
    <t xml:space="preserve">会安</t>
  </si>
  <si>
    <t xml:space="preserve">会安古城</t>
  </si>
  <si>
    <t xml:space="preserve">Hoi An Ancient Town</t>
  </si>
  <si>
    <r>
      <rPr>
        <sz val="9"/>
        <rFont val="Arial"/>
        <family val="0"/>
        <charset val="1"/>
      </rPr>
      <t xml:space="preserve">2-5</t>
    </r>
    <r>
      <rPr>
        <sz val="9"/>
        <rFont val="Noto Sans CJK SC"/>
        <family val="2"/>
      </rPr>
      <t xml:space="preserve">月</t>
    </r>
  </si>
  <si>
    <t xml:space="preserve">灯笼古城，平坦好走</t>
  </si>
  <si>
    <t xml:space="preserve">岘港</t>
  </si>
  <si>
    <t xml:space="preserve">巴拿山·金桥</t>
  </si>
  <si>
    <t xml:space="preserve">Ba Na Hills &amp; Golden Bridge</t>
  </si>
  <si>
    <t xml:space="preserve">现代景观</t>
  </si>
  <si>
    <t xml:space="preserve">顺化</t>
  </si>
  <si>
    <t xml:space="preserve">顺化皇城</t>
  </si>
  <si>
    <t xml:space="preserve">Hue Imperial Citadel</t>
  </si>
  <si>
    <t xml:space="preserve">胡志明市</t>
  </si>
  <si>
    <t xml:space="preserve">古芝地道</t>
  </si>
  <si>
    <t xml:space="preserve">Cu Chi Tunnels</t>
  </si>
  <si>
    <t xml:space="preserve">历史军事</t>
  </si>
  <si>
    <t xml:space="preserve">地道狭窄黑暗，幼儿可能害怕</t>
  </si>
  <si>
    <t xml:space="preserve">宁平</t>
  </si>
  <si>
    <t xml:space="preserve">长安名胜群</t>
  </si>
  <si>
    <t xml:space="preserve">Trang An Scenic Landscape</t>
  </si>
  <si>
    <t xml:space="preserve">自然山水</t>
  </si>
  <si>
    <t xml:space="preserve">沙巴(越南)</t>
  </si>
  <si>
    <t xml:space="preserve">沙巴梯田</t>
  </si>
  <si>
    <t xml:space="preserve">Sapa Rice Terraces</t>
  </si>
  <si>
    <t xml:space="preserve">自然人文</t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</si>
  <si>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</si>
  <si>
    <t xml:space="preserve">富国岛</t>
  </si>
  <si>
    <t xml:space="preserve">Phu Quoc Island</t>
  </si>
  <si>
    <t xml:space="preserve">印尼</t>
  </si>
  <si>
    <t xml:space="preserve">巴厘岛</t>
  </si>
  <si>
    <t xml:space="preserve">乌布·海神庙</t>
  </si>
  <si>
    <t xml:space="preserve">Ubud &amp; Tanah Lot, Bali</t>
  </si>
  <si>
    <t xml:space="preserve">文化海岛</t>
  </si>
  <si>
    <t xml:space="preserve">旱季</t>
  </si>
  <si>
    <t xml:space="preserve">库塔·水明漾</t>
  </si>
  <si>
    <t xml:space="preserve">Kuta &amp; Seminyak, Bali</t>
  </si>
  <si>
    <t xml:space="preserve">海滨度假</t>
  </si>
  <si>
    <t xml:space="preserve">日惹</t>
  </si>
  <si>
    <t xml:space="preserve">婆罗浮屠</t>
  </si>
  <si>
    <t xml:space="preserve">Borobudur Temple</t>
  </si>
  <si>
    <r>
      <rPr>
        <sz val="9"/>
        <rFont val="Arial"/>
        <family val="0"/>
        <charset val="1"/>
      </rPr>
      <t xml:space="preserve">5-9</t>
    </r>
    <r>
      <rPr>
        <sz val="9"/>
        <rFont val="Noto Sans CJK SC"/>
        <family val="2"/>
      </rPr>
      <t xml:space="preserve">月</t>
    </r>
  </si>
  <si>
    <t xml:space="preserve">普兰巴南神庙</t>
  </si>
  <si>
    <t xml:space="preserve">Prambanan Temple</t>
  </si>
  <si>
    <t xml:space="preserve">科莫多</t>
  </si>
  <si>
    <t xml:space="preserve">科莫多国家公园</t>
  </si>
  <si>
    <t xml:space="preserve">Komodo National Park</t>
  </si>
  <si>
    <t xml:space="preserve">自然生态</t>
  </si>
  <si>
    <r>
      <rPr>
        <sz val="9"/>
        <rFont val="Arial"/>
        <family val="0"/>
        <charset val="1"/>
      </rPr>
      <t xml:space="preserve">4-11</t>
    </r>
    <r>
      <rPr>
        <sz val="9"/>
        <rFont val="Noto Sans CJK SC"/>
        <family val="2"/>
      </rPr>
      <t xml:space="preserve">月</t>
    </r>
  </si>
  <si>
    <t xml:space="preserve">科莫多龙有攻击性</t>
  </si>
  <si>
    <t xml:space="preserve">拉贾安帕</t>
  </si>
  <si>
    <t xml:space="preserve">拉贾安帕群岛</t>
  </si>
  <si>
    <t xml:space="preserve">Raja Ampat Islands</t>
  </si>
  <si>
    <t xml:space="preserve">海洋潜水</t>
  </si>
  <si>
    <t xml:space="preserve">深潜为主，需会游泳</t>
  </si>
  <si>
    <t xml:space="preserve">菲律宾</t>
  </si>
  <si>
    <t xml:space="preserve">长滩岛</t>
  </si>
  <si>
    <t xml:space="preserve">长滩岛白沙滩</t>
  </si>
  <si>
    <t xml:space="preserve">Boracay White Beach</t>
  </si>
  <si>
    <t xml:space="preserve">免签14天</t>
  </si>
  <si>
    <r>
      <rPr>
        <sz val="9"/>
        <rFont val="Arial"/>
        <family val="0"/>
        <charset val="1"/>
      </rPr>
      <t xml:space="preserve">11-5</t>
    </r>
    <r>
      <rPr>
        <sz val="9"/>
        <rFont val="Noto Sans CJK SC"/>
        <family val="2"/>
      </rPr>
      <t xml:space="preserve">月</t>
    </r>
  </si>
  <si>
    <t xml:space="preserve">巴拉望</t>
  </si>
  <si>
    <t xml:space="preserve">爱妮岛</t>
  </si>
  <si>
    <t xml:space="preserve">El Nido, Palawan</t>
  </si>
  <si>
    <t xml:space="preserve">海岛探险</t>
  </si>
  <si>
    <r>
      <rPr>
        <sz val="9"/>
        <rFont val="Arial"/>
        <family val="0"/>
        <charset val="1"/>
      </rPr>
      <t xml:space="preserve">12-5</t>
    </r>
    <r>
      <rPr>
        <sz val="9"/>
        <rFont val="Noto Sans CJK SC"/>
        <family val="2"/>
      </rPr>
      <t xml:space="preserve">月</t>
    </r>
  </si>
  <si>
    <r>
      <rPr>
        <sz val="8"/>
        <color rgb="FF666666"/>
        <rFont val="Noto Sans CJK SC"/>
        <family val="2"/>
      </rPr>
      <t xml:space="preserve">跳岛</t>
    </r>
    <r>
      <rPr>
        <sz val="8"/>
        <color rgb="FF666666"/>
        <rFont val="Arial"/>
        <family val="0"/>
        <charset val="1"/>
      </rPr>
      <t xml:space="preserve">+</t>
    </r>
    <r>
      <rPr>
        <sz val="8"/>
        <color rgb="FF666666"/>
        <rFont val="Noto Sans CJK SC"/>
        <family val="2"/>
      </rPr>
      <t xml:space="preserve">浮潜，需基本水性</t>
    </r>
  </si>
  <si>
    <t xml:space="preserve">薄荷岛</t>
  </si>
  <si>
    <t xml:space="preserve">巧克力山·眼镜猴</t>
  </si>
  <si>
    <t xml:space="preserve">Chocolate Hills &amp; Tarsier</t>
  </si>
  <si>
    <t xml:space="preserve">宿务</t>
  </si>
  <si>
    <t xml:space="preserve">奥斯洛布鲸鲨·嘉华山瀑布</t>
  </si>
  <si>
    <t xml:space="preserve">Oslob &amp; Kawasan Falls</t>
  </si>
  <si>
    <t xml:space="preserve">海洋瀑布</t>
  </si>
  <si>
    <t xml:space="preserve">险峻山路，幼儿危险</t>
  </si>
  <si>
    <t xml:space="preserve">马尼拉</t>
  </si>
  <si>
    <t xml:space="preserve">马尼拉老城区</t>
  </si>
  <si>
    <t xml:space="preserve">Intramuros, Manila</t>
  </si>
  <si>
    <t xml:space="preserve">柬埔寨</t>
  </si>
  <si>
    <t xml:space="preserve">暹粒</t>
  </si>
  <si>
    <t xml:space="preserve">吴哥窟</t>
  </si>
  <si>
    <t xml:space="preserve">Angkor Wat</t>
  </si>
  <si>
    <t xml:space="preserve">落地签/电子签</t>
  </si>
  <si>
    <t xml:space="preserve">体力消耗大，需能长时间步行</t>
  </si>
  <si>
    <t xml:space="preserve">金边</t>
  </si>
  <si>
    <t xml:space="preserve">金边皇宫·银殿</t>
  </si>
  <si>
    <t xml:space="preserve">Royal Palace Phnom Penh</t>
  </si>
  <si>
    <t xml:space="preserve">西哈努克</t>
  </si>
  <si>
    <t xml:space="preserve">西哈努克港·高龙岛</t>
  </si>
  <si>
    <t xml:space="preserve">Sihanoukville &amp; Koh Rong</t>
  </si>
  <si>
    <t xml:space="preserve">老挝</t>
  </si>
  <si>
    <t xml:space="preserve">琅勃拉邦</t>
  </si>
  <si>
    <t xml:space="preserve">琅勃拉邦古城</t>
  </si>
  <si>
    <t xml:space="preserve">Luang Prabang</t>
  </si>
  <si>
    <t xml:space="preserve">落地签</t>
  </si>
  <si>
    <t xml:space="preserve">万象</t>
  </si>
  <si>
    <t xml:space="preserve">塔銮·佛像公园</t>
  </si>
  <si>
    <t xml:space="preserve">Pha That Luang &amp; Buddha Park</t>
  </si>
  <si>
    <t xml:space="preserve">缅甸</t>
  </si>
  <si>
    <t xml:space="preserve">蒲甘</t>
  </si>
  <si>
    <t xml:space="preserve">蒲甘古城</t>
  </si>
  <si>
    <t xml:space="preserve">Bagan Ancient City</t>
  </si>
  <si>
    <t xml:space="preserve">骑行为主，幼儿需大人带</t>
  </si>
  <si>
    <t xml:space="preserve">仰光</t>
  </si>
  <si>
    <t xml:space="preserve">大金塔</t>
  </si>
  <si>
    <t xml:space="preserve">Shwedagon Pagoda</t>
  </si>
  <si>
    <t xml:space="preserve">文莱</t>
  </si>
  <si>
    <t xml:space="preserve">斯里巴加湾</t>
  </si>
  <si>
    <t xml:space="preserve">奥马尔清真寺</t>
  </si>
  <si>
    <t xml:space="preserve">Omar Ali Saifuddien Mosque</t>
  </si>
  <si>
    <t xml:space="preserve">宗教建筑</t>
  </si>
  <si>
    <t xml:space="preserve">大洋洲</t>
  </si>
  <si>
    <t xml:space="preserve">澳大利亚</t>
  </si>
  <si>
    <t xml:space="preserve">悉尼</t>
  </si>
  <si>
    <t xml:space="preserve">悉尼歌剧院·海港大桥</t>
  </si>
  <si>
    <t xml:space="preserve">Sydney Opera House &amp; Bridge</t>
  </si>
  <si>
    <t xml:space="preserve">需签证(ETA)</t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</si>
  <si>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/3-5</t>
    </r>
    <r>
      <rPr>
        <sz val="9"/>
        <rFont val="Noto Sans CJK SC"/>
        <family val="2"/>
      </rPr>
      <t xml:space="preserve">月</t>
    </r>
  </si>
  <si>
    <t xml:space="preserve">墨尔本</t>
  </si>
  <si>
    <t xml:space="preserve">大洋路十二门徒</t>
  </si>
  <si>
    <t xml:space="preserve">Great Ocean Road</t>
  </si>
  <si>
    <t xml:space="preserve">自然海岸</t>
  </si>
  <si>
    <r>
      <rPr>
        <sz val="9"/>
        <rFont val="Arial"/>
        <family val="0"/>
        <charset val="1"/>
      </rPr>
      <t xml:space="preserve">12-4</t>
    </r>
    <r>
      <rPr>
        <sz val="9"/>
        <rFont val="Noto Sans CJK SC"/>
        <family val="2"/>
      </rPr>
      <t xml:space="preserve">月</t>
    </r>
  </si>
  <si>
    <t xml:space="preserve">凯恩斯</t>
  </si>
  <si>
    <t xml:space="preserve">大堡礁</t>
  </si>
  <si>
    <t xml:space="preserve">Great Barrier Reef</t>
  </si>
  <si>
    <t xml:space="preserve">海洋生态</t>
  </si>
  <si>
    <t xml:space="preserve">乌鲁鲁</t>
  </si>
  <si>
    <t xml:space="preserve">乌鲁鲁(艾尔斯岩)</t>
  </si>
  <si>
    <t xml:space="preserve">Uluru (Ayers Rock)</t>
  </si>
  <si>
    <t xml:space="preserve">自然地标</t>
  </si>
  <si>
    <t xml:space="preserve">塔斯马尼亚</t>
  </si>
  <si>
    <t xml:space="preserve">摇篮山</t>
  </si>
  <si>
    <t xml:space="preserve">Cradle Mountain</t>
  </si>
  <si>
    <t xml:space="preserve">山地徒步，需一定体力</t>
  </si>
  <si>
    <t xml:space="preserve">黄金海岸</t>
  </si>
  <si>
    <t xml:space="preserve">黄金海岸冲浪者天堂</t>
  </si>
  <si>
    <t xml:space="preserve">Surfers Paradise</t>
  </si>
  <si>
    <r>
      <rPr>
        <sz val="9"/>
        <rFont val="Arial"/>
        <family val="0"/>
        <charset val="1"/>
      </rPr>
      <t xml:space="preserve">9-4</t>
    </r>
    <r>
      <rPr>
        <sz val="9"/>
        <rFont val="Noto Sans CJK SC"/>
        <family val="2"/>
      </rPr>
      <t xml:space="preserve">月</t>
    </r>
  </si>
  <si>
    <t xml:space="preserve">阿德莱德</t>
  </si>
  <si>
    <t xml:space="preserve">巴罗莎谷酒庄</t>
  </si>
  <si>
    <t xml:space="preserve">Barossa Valley Wineries</t>
  </si>
  <si>
    <t xml:space="preserve">葡萄酒庄</t>
  </si>
  <si>
    <t xml:space="preserve">堪培拉</t>
  </si>
  <si>
    <t xml:space="preserve">国家战争纪念馆</t>
  </si>
  <si>
    <t xml:space="preserve">Australian War Memorial</t>
  </si>
  <si>
    <t xml:space="preserve">历史纪念</t>
  </si>
  <si>
    <t xml:space="preserve">达尔文</t>
  </si>
  <si>
    <t xml:space="preserve">卡卡杜国家公园</t>
  </si>
  <si>
    <t xml:space="preserve">Kakadu National Park</t>
  </si>
  <si>
    <r>
      <rPr>
        <sz val="9"/>
        <rFont val="Arial"/>
        <family val="0"/>
        <charset val="1"/>
      </rPr>
      <t xml:space="preserve">5-10</t>
    </r>
    <r>
      <rPr>
        <sz val="9"/>
        <rFont val="Noto Sans CJK SC"/>
        <family val="2"/>
      </rPr>
      <t xml:space="preserve">月</t>
    </r>
  </si>
  <si>
    <t xml:space="preserve">偏远荒野，鳄鱼出没</t>
  </si>
  <si>
    <t xml:space="preserve">珀斯</t>
  </si>
  <si>
    <t xml:space="preserve">罗特尼斯岛</t>
  </si>
  <si>
    <t xml:space="preserve">Rottnest Island</t>
  </si>
  <si>
    <t xml:space="preserve">海岛生态</t>
  </si>
  <si>
    <t xml:space="preserve">蓝山国家公园</t>
  </si>
  <si>
    <t xml:space="preserve">Blue Mountains</t>
  </si>
  <si>
    <t xml:space="preserve">圣灵群岛</t>
  </si>
  <si>
    <t xml:space="preserve">白天堂海滩</t>
  </si>
  <si>
    <t xml:space="preserve">Whitehaven Beach</t>
  </si>
  <si>
    <t xml:space="preserve">海岛海滩</t>
  </si>
  <si>
    <r>
      <rPr>
        <sz val="8"/>
        <color rgb="FF666666"/>
        <rFont val="Noto Sans CJK SC"/>
        <family val="2"/>
      </rPr>
      <t xml:space="preserve">需乘船</t>
    </r>
    <r>
      <rPr>
        <sz val="8"/>
        <color rgb="FF666666"/>
        <rFont val="Arial"/>
        <family val="0"/>
        <charset val="1"/>
      </rPr>
      <t xml:space="preserve">/</t>
    </r>
    <r>
      <rPr>
        <sz val="8"/>
        <color rgb="FF666666"/>
        <rFont val="Noto Sans CJK SC"/>
        <family val="2"/>
      </rPr>
      <t xml:space="preserve">水上飞机前往</t>
    </r>
  </si>
  <si>
    <t xml:space="preserve">新西兰</t>
  </si>
  <si>
    <t xml:space="preserve">皇后镇</t>
  </si>
  <si>
    <t xml:space="preserve">皇后镇·米尔福德峡湾</t>
  </si>
  <si>
    <t xml:space="preserve">Queenstown &amp; Milford Sound</t>
  </si>
  <si>
    <t xml:space="preserve">需签证(NZeTA)</t>
  </si>
  <si>
    <t xml:space="preserve">罗托鲁瓦</t>
  </si>
  <si>
    <t xml:space="preserve">罗托鲁瓦地热</t>
  </si>
  <si>
    <t xml:space="preserve">Rotorua Geothermal</t>
  </si>
  <si>
    <t xml:space="preserve">自然地热</t>
  </si>
  <si>
    <t xml:space="preserve">奥克兰</t>
  </si>
  <si>
    <t xml:space="preserve">怀赫科岛</t>
  </si>
  <si>
    <t xml:space="preserve">Waiheke Island</t>
  </si>
  <si>
    <t xml:space="preserve">海岛酒庄</t>
  </si>
  <si>
    <t xml:space="preserve">南岛</t>
  </si>
  <si>
    <t xml:space="preserve">库克山国家公园</t>
  </si>
  <si>
    <t xml:space="preserve">Aoraki/Mt Cook NP</t>
  </si>
  <si>
    <t xml:space="preserve">高山步道，天气多变</t>
  </si>
  <si>
    <t xml:space="preserve">瓦纳卡湖·蒂卡波湖</t>
  </si>
  <si>
    <t xml:space="preserve">Lake Wanaka &amp; Tekapo</t>
  </si>
  <si>
    <t xml:space="preserve">自然湖泊</t>
  </si>
  <si>
    <t xml:space="preserve">北岛</t>
  </si>
  <si>
    <t xml:space="preserve">霍比特人村</t>
  </si>
  <si>
    <t xml:space="preserve">Hobbiton</t>
  </si>
  <si>
    <t xml:space="preserve">影视主题</t>
  </si>
  <si>
    <t xml:space="preserve">魔戒主题，太小看不懂</t>
  </si>
  <si>
    <t xml:space="preserve">弗朗茨约瑟夫冰川</t>
  </si>
  <si>
    <t xml:space="preserve">Franz Josef Glacier</t>
  </si>
  <si>
    <t xml:space="preserve">冰川探险</t>
  </si>
  <si>
    <t xml:space="preserve">冰川行走，幼儿危险</t>
  </si>
  <si>
    <t xml:space="preserve">汤加里罗</t>
  </si>
  <si>
    <t xml:space="preserve">汤加里罗国家公园</t>
  </si>
  <si>
    <t xml:space="preserve">Tongariro NP</t>
  </si>
  <si>
    <t xml:space="preserve">自然火山</t>
  </si>
  <si>
    <r>
      <rPr>
        <sz val="8"/>
        <color rgb="FF666666"/>
        <rFont val="Noto Sans CJK SC"/>
        <family val="2"/>
      </rPr>
      <t xml:space="preserve">火山徒步</t>
    </r>
    <r>
      <rPr>
        <sz val="8"/>
        <color rgb="FF666666"/>
        <rFont val="Arial"/>
        <family val="0"/>
        <charset val="1"/>
      </rPr>
      <t xml:space="preserve">8h</t>
    </r>
    <r>
      <rPr>
        <sz val="8"/>
        <color rgb="FF666666"/>
        <rFont val="Noto Sans CJK SC"/>
        <family val="2"/>
      </rPr>
      <t xml:space="preserve">，体力要求高</t>
    </r>
  </si>
  <si>
    <t xml:space="preserve">西亚</t>
  </si>
  <si>
    <t xml:space="preserve">阿联酋</t>
  </si>
  <si>
    <t xml:space="preserve">迪拜</t>
  </si>
  <si>
    <t xml:space="preserve">哈利法塔·迪拜购物中心</t>
  </si>
  <si>
    <t xml:space="preserve">Burj Khalifa &amp; Dubai Mall</t>
  </si>
  <si>
    <t xml:space="preserve">现代地标</t>
  </si>
  <si>
    <t xml:space="preserve">棕榈岛·帆船酒店</t>
  </si>
  <si>
    <t xml:space="preserve">Palm Jumeirah &amp; Burj Al Arab</t>
  </si>
  <si>
    <t xml:space="preserve">城市奢华</t>
  </si>
  <si>
    <t xml:space="preserve">阿布扎比</t>
  </si>
  <si>
    <t xml:space="preserve">谢赫扎耶德大清真寺</t>
  </si>
  <si>
    <t xml:space="preserve">Sheikh Zayed Grand Mosque</t>
  </si>
  <si>
    <t xml:space="preserve">卢浮宫阿布扎比</t>
  </si>
  <si>
    <t xml:space="preserve">Louvre Abu Dhabi</t>
  </si>
  <si>
    <t xml:space="preserve">艺术博物馆</t>
  </si>
  <si>
    <t xml:space="preserve">迪拜沙漠保护区</t>
  </si>
  <si>
    <t xml:space="preserve">Dubai Desert Conservation</t>
  </si>
  <si>
    <t xml:space="preserve">沙漠体验</t>
  </si>
  <si>
    <r>
      <rPr>
        <b val="true"/>
        <sz val="9"/>
        <color rgb="FF4A148C"/>
        <rFont val="Arial"/>
        <family val="0"/>
        <charset val="1"/>
      </rPr>
      <t xml:space="preserve">4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</si>
  <si>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沙漠冲沙刺激，太小会害怕</t>
  </si>
  <si>
    <t xml:space="preserve">土耳其</t>
  </si>
  <si>
    <t xml:space="preserve">伊斯坦布尔</t>
  </si>
  <si>
    <t xml:space="preserve">圣索菲亚·蓝色清真寺</t>
  </si>
  <si>
    <t xml:space="preserve">Hagia Sophia &amp; Blue Mosque</t>
  </si>
  <si>
    <t xml:space="preserve">免签90天</t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</si>
  <si>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</si>
  <si>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卡帕多奇亚</t>
  </si>
  <si>
    <t xml:space="preserve">卡帕多奇亚热气球</t>
  </si>
  <si>
    <t xml:space="preserve">Cappadocia</t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</si>
  <si>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</si>
  <si>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棉花堡</t>
  </si>
  <si>
    <t xml:space="preserve">棉花堡·希拉波利斯</t>
  </si>
  <si>
    <t xml:space="preserve">Pamukkale &amp; Hierapolis</t>
  </si>
  <si>
    <t xml:space="preserve">安塔利亚</t>
  </si>
  <si>
    <t xml:space="preserve">安塔利亚老城</t>
  </si>
  <si>
    <t xml:space="preserve">Antalya Old Town &amp; Beach</t>
  </si>
  <si>
    <t xml:space="preserve">海滨历史</t>
  </si>
  <si>
    <t xml:space="preserve">以弗所</t>
  </si>
  <si>
    <t xml:space="preserve">以弗所古城</t>
  </si>
  <si>
    <t xml:space="preserve">Ephesus Ancient City</t>
  </si>
  <si>
    <t xml:space="preserve">大巴扎·加拉太塔</t>
  </si>
  <si>
    <t xml:space="preserve">Grand Bazaar &amp; Galata Tower</t>
  </si>
  <si>
    <t xml:space="preserve">历史商业</t>
  </si>
  <si>
    <t xml:space="preserve">费特希耶</t>
  </si>
  <si>
    <t xml:space="preserve">厄吕代尼兹蓝色泻湖</t>
  </si>
  <si>
    <t xml:space="preserve">Oludeniz Blue Lagoon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</si>
  <si>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</si>
  <si>
    <t xml:space="preserve">番红花城</t>
  </si>
  <si>
    <t xml:space="preserve">Safranbolu</t>
  </si>
  <si>
    <t xml:space="preserve">历史古城</t>
  </si>
  <si>
    <t xml:space="preserve">沙特</t>
  </si>
  <si>
    <t xml:space="preserve">利雅得</t>
  </si>
  <si>
    <t xml:space="preserve">德拉伊耶历史区</t>
  </si>
  <si>
    <t xml:space="preserve">Ad Diriyah, Riyadh</t>
  </si>
  <si>
    <t xml:space="preserve">吉达</t>
  </si>
  <si>
    <t xml:space="preserve">吉达历史街区</t>
  </si>
  <si>
    <t xml:space="preserve">Al-Balad, Jeddah</t>
  </si>
  <si>
    <t xml:space="preserve">欧拉</t>
  </si>
  <si>
    <t xml:space="preserve">欧拉古城遗迹</t>
  </si>
  <si>
    <t xml:space="preserve">AlUla Heritage Site</t>
  </si>
  <si>
    <t xml:space="preserve">阿曼</t>
  </si>
  <si>
    <t xml:space="preserve">马斯喀特</t>
  </si>
  <si>
    <t xml:space="preserve">苏丹卡布斯大清真寺</t>
  </si>
  <si>
    <t xml:space="preserve">Sultan Qaboos Grand Mosque</t>
  </si>
  <si>
    <t xml:space="preserve">瓦希巴</t>
  </si>
  <si>
    <t xml:space="preserve">瓦希巴沙漠</t>
  </si>
  <si>
    <t xml:space="preserve">Wahiba Sands Desert</t>
  </si>
  <si>
    <t xml:space="preserve">沙漠探险</t>
  </si>
  <si>
    <t xml:space="preserve">沙漠越野，婴幼儿不适</t>
  </si>
  <si>
    <t xml:space="preserve">卡塔尔</t>
  </si>
  <si>
    <t xml:space="preserve">多哈</t>
  </si>
  <si>
    <t xml:space="preserve">伊斯兰艺术博物馆</t>
  </si>
  <si>
    <t xml:space="preserve">Museum of Islamic Art</t>
  </si>
  <si>
    <t xml:space="preserve">卡塔拉文化村·珍珠岛</t>
  </si>
  <si>
    <t xml:space="preserve">Katara &amp; The Pearl</t>
  </si>
  <si>
    <t xml:space="preserve">文化休闲</t>
  </si>
  <si>
    <t xml:space="preserve">格鲁吉亚</t>
  </si>
  <si>
    <t xml:space="preserve">第比利斯</t>
  </si>
  <si>
    <t xml:space="preserve">第比利斯老城·硫磺浴</t>
  </si>
  <si>
    <t xml:space="preserve">Tbilisi Old Town &amp; Sulphur Baths</t>
  </si>
  <si>
    <t xml:space="preserve">历史温泉</t>
  </si>
  <si>
    <t xml:space="preserve">卡兹别吉</t>
  </si>
  <si>
    <t xml:space="preserve">卡兹别吉·三位一体教堂</t>
  </si>
  <si>
    <t xml:space="preserve">Kazbegi &amp; Gergeti Trinity</t>
  </si>
  <si>
    <t xml:space="preserve">自然宗教</t>
  </si>
  <si>
    <t xml:space="preserve">高海拔山区徒步</t>
  </si>
  <si>
    <t xml:space="preserve">西格纳吉</t>
  </si>
  <si>
    <t xml:space="preserve">卡赫季葡萄酒产区</t>
  </si>
  <si>
    <t xml:space="preserve">Kakheti Wine Region</t>
  </si>
  <si>
    <t xml:space="preserve">库塔伊西</t>
  </si>
  <si>
    <t xml:space="preserve">格拉特修道院·普罗米修斯洞</t>
  </si>
  <si>
    <t xml:space="preserve">Gelati &amp; Prometheus Cave</t>
  </si>
  <si>
    <t xml:space="preserve">亚美尼亚</t>
  </si>
  <si>
    <t xml:space="preserve">埃里温</t>
  </si>
  <si>
    <t xml:space="preserve">埃里温阶梯·共和国广场</t>
  </si>
  <si>
    <t xml:space="preserve">Yerevan Cascade &amp; Republic Sq</t>
  </si>
  <si>
    <t xml:space="preserve">城市文化</t>
  </si>
  <si>
    <t xml:space="preserve">加尔尼</t>
  </si>
  <si>
    <t xml:space="preserve">加尔尼神庙·格加尔德修道院</t>
  </si>
  <si>
    <t xml:space="preserve">Garni &amp; Geghard</t>
  </si>
  <si>
    <t xml:space="preserve">中亚</t>
  </si>
  <si>
    <t xml:space="preserve">哈萨克斯坦</t>
  </si>
  <si>
    <t xml:space="preserve">阿拉木图</t>
  </si>
  <si>
    <t xml:space="preserve">恰伦大峡谷</t>
  </si>
  <si>
    <t xml:space="preserve">Charyn Canyon</t>
  </si>
  <si>
    <t xml:space="preserve">自然峡谷</t>
  </si>
  <si>
    <t xml:space="preserve">峡谷徒步，幼儿不便</t>
  </si>
  <si>
    <t xml:space="preserve">大阿拉木图湖</t>
  </si>
  <si>
    <t xml:space="preserve">Big Almaty Lake</t>
  </si>
  <si>
    <t xml:space="preserve">高海拔但可自驾到达</t>
  </si>
  <si>
    <t xml:space="preserve">阿斯塔纳</t>
  </si>
  <si>
    <t xml:space="preserve">巴伊杰列克塔·可汗帐篷</t>
  </si>
  <si>
    <t xml:space="preserve">Bayterek &amp; Khan Shatyr</t>
  </si>
  <si>
    <t xml:space="preserve">现代城市</t>
  </si>
  <si>
    <t xml:space="preserve">突厥斯坦</t>
  </si>
  <si>
    <t xml:space="preserve">亚萨维陵墓</t>
  </si>
  <si>
    <t xml:space="preserve">Mausoleum of Yasawi</t>
  </si>
  <si>
    <t xml:space="preserve">乌兹别克斯坦</t>
  </si>
  <si>
    <t xml:space="preserve">撒马尔罕</t>
  </si>
  <si>
    <t xml:space="preserve">雷吉斯坦广场</t>
  </si>
  <si>
    <t xml:space="preserve">Registan Square</t>
  </si>
  <si>
    <t xml:space="preserve">布哈拉</t>
  </si>
  <si>
    <t xml:space="preserve">布哈拉古城</t>
  </si>
  <si>
    <t xml:space="preserve">Bukhara Historic Centre</t>
  </si>
  <si>
    <t xml:space="preserve">希瓦</t>
  </si>
  <si>
    <t xml:space="preserve">伊钦·卡拉内城</t>
  </si>
  <si>
    <t xml:space="preserve">Itchan Kala, Khiva</t>
  </si>
  <si>
    <t xml:space="preserve">塔什干</t>
  </si>
  <si>
    <t xml:space="preserve">哈兹拉提伊玛目广场</t>
  </si>
  <si>
    <t xml:space="preserve">Khast Imom Complex</t>
  </si>
  <si>
    <t xml:space="preserve">努拉塔</t>
  </si>
  <si>
    <t xml:space="preserve">艾达尔库尔湖</t>
  </si>
  <si>
    <t xml:space="preserve">Aydarkul Lake</t>
  </si>
  <si>
    <t xml:space="preserve">吉尔吉斯斯坦</t>
  </si>
  <si>
    <t xml:space="preserve">比什凯克</t>
  </si>
  <si>
    <t xml:space="preserve">阿拉阿查国家公园</t>
  </si>
  <si>
    <t xml:space="preserve">Ala Archa NP</t>
  </si>
  <si>
    <t xml:space="preserve">伊塞克湖</t>
  </si>
  <si>
    <t xml:space="preserve">Issyk-Kul Lake</t>
  </si>
  <si>
    <t xml:space="preserve">宋库勒</t>
  </si>
  <si>
    <t xml:space="preserve">宋库勒湖</t>
  </si>
  <si>
    <t xml:space="preserve">Song-Kul Lake</t>
  </si>
  <si>
    <t xml:space="preserve">高山湖泊</t>
  </si>
  <si>
    <t xml:space="preserve">偏远高山，条件简陋</t>
  </si>
  <si>
    <t xml:space="preserve">东欧</t>
  </si>
  <si>
    <t xml:space="preserve">塞尔维亚</t>
  </si>
  <si>
    <t xml:space="preserve">贝尔格莱德</t>
  </si>
  <si>
    <t xml:space="preserve">贝尔格莱德要塞·圣萨瓦教堂</t>
  </si>
  <si>
    <t xml:space="preserve">Belgrade Fortress &amp; St Sava</t>
  </si>
  <si>
    <t xml:space="preserve">诺维萨德</t>
  </si>
  <si>
    <t xml:space="preserve">彼得罗瓦拉丁要塞</t>
  </si>
  <si>
    <t xml:space="preserve">Petrovaradin Fortress</t>
  </si>
  <si>
    <t xml:space="preserve">历史要塞</t>
  </si>
  <si>
    <t xml:space="preserve">兹拉蒂博尔</t>
  </si>
  <si>
    <t xml:space="preserve">木头村·萨尔甘八号铁路</t>
  </si>
  <si>
    <t xml:space="preserve">Drvengrad &amp; Sargan Eight</t>
  </si>
  <si>
    <t xml:space="preserve">文化遗产</t>
  </si>
  <si>
    <t xml:space="preserve">波黑</t>
  </si>
  <si>
    <t xml:space="preserve">萨拉热窝</t>
  </si>
  <si>
    <t xml:space="preserve">巴什察尔希亚老城</t>
  </si>
  <si>
    <t xml:space="preserve">Bascarsija, Sarajevo</t>
  </si>
  <si>
    <t xml:space="preserve">莫斯塔尔</t>
  </si>
  <si>
    <t xml:space="preserve">莫斯塔尔老桥</t>
  </si>
  <si>
    <t xml:space="preserve">Stari Most, Mostar</t>
  </si>
  <si>
    <t xml:space="preserve">历史建筑</t>
  </si>
  <si>
    <t xml:space="preserve">特拉夫尼克</t>
  </si>
  <si>
    <t xml:space="preserve">特拉夫尼克古堡</t>
  </si>
  <si>
    <t xml:space="preserve">Travnik Fortress</t>
  </si>
  <si>
    <t xml:space="preserve">黑山</t>
  </si>
  <si>
    <t xml:space="preserve">科托尔</t>
  </si>
  <si>
    <t xml:space="preserve">科托尔古城·海湾</t>
  </si>
  <si>
    <t xml:space="preserve">Kotor Old Town &amp; Bay</t>
  </si>
  <si>
    <t xml:space="preserve">历史海湾</t>
  </si>
  <si>
    <t xml:space="preserve">布德瓦</t>
  </si>
  <si>
    <t xml:space="preserve">布德瓦老城·海滩</t>
  </si>
  <si>
    <t xml:space="preserve">Budva Old Town &amp; Beaches</t>
  </si>
  <si>
    <t xml:space="preserve">杜米托尔</t>
  </si>
  <si>
    <t xml:space="preserve">杜米托尔国家公园</t>
  </si>
  <si>
    <t xml:space="preserve">Durmitor NP</t>
  </si>
  <si>
    <t xml:space="preserve">山地户外，路况复杂</t>
  </si>
  <si>
    <t xml:space="preserve">北马其顿</t>
  </si>
  <si>
    <t xml:space="preserve">奥赫里德</t>
  </si>
  <si>
    <t xml:space="preserve">奥赫里德湖·老城</t>
  </si>
  <si>
    <t xml:space="preserve">Lake Ohrid &amp; Old Town</t>
  </si>
  <si>
    <t xml:space="preserve">自然文化</t>
  </si>
  <si>
    <t xml:space="preserve">免签/有条件</t>
  </si>
  <si>
    <t xml:space="preserve">斯科普里</t>
  </si>
  <si>
    <t xml:space="preserve">斯科普里石桥·老城</t>
  </si>
  <si>
    <t xml:space="preserve">Skopje Stone Bridge</t>
  </si>
  <si>
    <t xml:space="preserve">阿尔巴尼亚</t>
  </si>
  <si>
    <t xml:space="preserve">萨兰达</t>
  </si>
  <si>
    <t xml:space="preserve">布特林特古城</t>
  </si>
  <si>
    <t xml:space="preserve">Butrint Archaeological Site</t>
  </si>
  <si>
    <t xml:space="preserve">培拉特</t>
  </si>
  <si>
    <t xml:space="preserve">培拉特千窗之城</t>
  </si>
  <si>
    <t xml:space="preserve">Berat - City of Windows</t>
  </si>
  <si>
    <t xml:space="preserve">吉诺卡斯特</t>
  </si>
  <si>
    <t xml:space="preserve">吉诺卡斯特石头城</t>
  </si>
  <si>
    <t xml:space="preserve">Gjirokaster Stone City</t>
  </si>
  <si>
    <t xml:space="preserve">白俄罗斯</t>
  </si>
  <si>
    <t xml:space="preserve">明斯克</t>
  </si>
  <si>
    <t xml:space="preserve">独立大街·胜利广场</t>
  </si>
  <si>
    <t xml:space="preserve">Independence Ave &amp; Victory Sq</t>
  </si>
  <si>
    <t xml:space="preserve">布列斯特</t>
  </si>
  <si>
    <t xml:space="preserve">布列斯特要塞</t>
  </si>
  <si>
    <t xml:space="preserve">Brest Fortress</t>
  </si>
  <si>
    <t xml:space="preserve">军事历史，低龄难理解</t>
  </si>
  <si>
    <t xml:space="preserve">俄罗斯</t>
  </si>
  <si>
    <t xml:space="preserve">莫斯科</t>
  </si>
  <si>
    <t xml:space="preserve">克里姆林宫·红场</t>
  </si>
  <si>
    <t xml:space="preserve">Kremlin &amp; Red Square</t>
  </si>
  <si>
    <t xml:space="preserve">免签(团签)</t>
  </si>
  <si>
    <t xml:space="preserve">圣彼得堡</t>
  </si>
  <si>
    <t xml:space="preserve">冬宫(艾尔米塔什)</t>
  </si>
  <si>
    <t xml:space="preserve">Hermitage Museum</t>
  </si>
  <si>
    <t xml:space="preserve">彼得夏宫</t>
  </si>
  <si>
    <t xml:space="preserve">Peterhof Palace</t>
  </si>
  <si>
    <t xml:space="preserve">皇家园林</t>
  </si>
  <si>
    <t xml:space="preserve">圣瓦西里大教堂</t>
  </si>
  <si>
    <t xml:space="preserve">St Basil's Cathedral</t>
  </si>
  <si>
    <t xml:space="preserve">贝加尔湖</t>
  </si>
  <si>
    <t xml:space="preserve">Lake Baikal</t>
  </si>
  <si>
    <t xml:space="preserve">夏冬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</si>
  <si>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/1-3</t>
    </r>
    <r>
      <rPr>
        <sz val="9"/>
        <rFont val="Noto Sans CJK SC"/>
        <family val="2"/>
      </rPr>
      <t xml:space="preserve">月</t>
    </r>
  </si>
  <si>
    <t xml:space="preserve">偏远寒冷，条件有限</t>
  </si>
  <si>
    <t xml:space="preserve">索契</t>
  </si>
  <si>
    <t xml:space="preserve">索契·红波利亚纳</t>
  </si>
  <si>
    <t xml:space="preserve">Sochi &amp; Krasnaya Polyana</t>
  </si>
  <si>
    <t xml:space="preserve">海滨山地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</si>
  <si>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/12-3</t>
    </r>
    <r>
      <rPr>
        <sz val="9"/>
        <rFont val="Noto Sans CJK SC"/>
        <family val="2"/>
      </rPr>
      <t xml:space="preserve">月</t>
    </r>
  </si>
  <si>
    <t xml:space="preserve">符拉迪沃斯托克</t>
  </si>
  <si>
    <t xml:space="preserve">海参崴</t>
  </si>
  <si>
    <t xml:space="preserve">Vladivostok</t>
  </si>
  <si>
    <t xml:space="preserve">海港城市</t>
  </si>
  <si>
    <t xml:space="preserve">免签(电子签)</t>
  </si>
  <si>
    <t xml:space="preserve">喀山</t>
  </si>
  <si>
    <t xml:space="preserve">喀山克里姆林宫</t>
  </si>
  <si>
    <t xml:space="preserve">Kazan Kremlin</t>
  </si>
  <si>
    <t xml:space="preserve">克罗地亚</t>
  </si>
  <si>
    <t xml:space="preserve">杜布罗夫尼克</t>
  </si>
  <si>
    <t xml:space="preserve">杜布罗夫尼克老城</t>
  </si>
  <si>
    <t xml:space="preserve">Dubrovnik Old Town</t>
  </si>
  <si>
    <t xml:space="preserve">历史城墙</t>
  </si>
  <si>
    <t xml:space="preserve">十六湖</t>
  </si>
  <si>
    <t xml:space="preserve">普利特维采湖群</t>
  </si>
  <si>
    <t xml:space="preserve">Plitvice Lakes NP</t>
  </si>
  <si>
    <t xml:space="preserve">自然湖瀑</t>
  </si>
  <si>
    <t xml:space="preserve">斯普利特</t>
  </si>
  <si>
    <t xml:space="preserve">戴克里先宫·老城</t>
  </si>
  <si>
    <t xml:space="preserve">Diocletian's Palace, Split</t>
  </si>
  <si>
    <t xml:space="preserve">匈牙利</t>
  </si>
  <si>
    <t xml:space="preserve">布达佩斯</t>
  </si>
  <si>
    <t xml:space="preserve">渔人堡·布达城堡</t>
  </si>
  <si>
    <t xml:space="preserve">Fisherman's Bastion &amp; Buda</t>
  </si>
  <si>
    <t xml:space="preserve">塞切尼温泉浴场</t>
  </si>
  <si>
    <t xml:space="preserve">Széchenyi Thermal Bath</t>
  </si>
  <si>
    <t xml:space="preserve">温泉文化</t>
  </si>
  <si>
    <t xml:space="preserve">国会大厦·多瑙河夜游</t>
  </si>
  <si>
    <t xml:space="preserve">Parliament &amp; Danube Cruise</t>
  </si>
  <si>
    <t xml:space="preserve">城市建筑</t>
  </si>
  <si>
    <t xml:space="preserve">保加利亚</t>
  </si>
  <si>
    <t xml:space="preserve">索非亚</t>
  </si>
  <si>
    <t xml:space="preserve">涅夫斯基大教堂</t>
  </si>
  <si>
    <t xml:space="preserve">Alexander Nevsky Cathedral</t>
  </si>
  <si>
    <t xml:space="preserve">里拉</t>
  </si>
  <si>
    <t xml:space="preserve">里拉修道院</t>
  </si>
  <si>
    <t xml:space="preserve">Rila Monastery</t>
  </si>
  <si>
    <t xml:space="preserve">罗马尼亚</t>
  </si>
  <si>
    <t xml:space="preserve">布拉索夫</t>
  </si>
  <si>
    <t xml:space="preserve">布朗城堡(德古拉)</t>
  </si>
  <si>
    <t xml:space="preserve">Bran Castle</t>
  </si>
  <si>
    <t xml:space="preserve">历史城堡</t>
  </si>
  <si>
    <t xml:space="preserve">锡吉什瓦拉</t>
  </si>
  <si>
    <t xml:space="preserve">锡吉什瓦拉古城</t>
  </si>
  <si>
    <t xml:space="preserve">Sighișoara Historic Centre</t>
  </si>
  <si>
    <t xml:space="preserve">波兰</t>
  </si>
  <si>
    <t xml:space="preserve">克拉科夫</t>
  </si>
  <si>
    <t xml:space="preserve">瓦维尔城堡·老城</t>
  </si>
  <si>
    <t xml:space="preserve">Wawel Castle &amp; Old Town</t>
  </si>
  <si>
    <t xml:space="preserve">奥斯维辛</t>
  </si>
  <si>
    <t xml:space="preserve">奥斯维辛集中营</t>
  </si>
  <si>
    <t xml:space="preserve">Auschwitz-Birkenau</t>
  </si>
  <si>
    <t xml:space="preserve">大屠杀纪念馆，内容沉重</t>
  </si>
  <si>
    <t xml:space="preserve">华沙</t>
  </si>
  <si>
    <t xml:space="preserve">华沙老城</t>
  </si>
  <si>
    <t xml:space="preserve">Warsaw Old Town</t>
  </si>
  <si>
    <t xml:space="preserve">爱沙尼亚</t>
  </si>
  <si>
    <t xml:space="preserve">塔林</t>
  </si>
  <si>
    <t xml:space="preserve">塔林老城</t>
  </si>
  <si>
    <t xml:space="preserve">Tallinn Old Town</t>
  </si>
  <si>
    <t xml:space="preserve">拉脱维亚</t>
  </si>
  <si>
    <t xml:space="preserve">里加</t>
  </si>
  <si>
    <t xml:space="preserve">里加老城</t>
  </si>
  <si>
    <t xml:space="preserve">Riga Old Town</t>
  </si>
  <si>
    <t xml:space="preserve">南亚</t>
  </si>
  <si>
    <t xml:space="preserve">马尔代夫</t>
  </si>
  <si>
    <t xml:space="preserve">马累</t>
  </si>
  <si>
    <t xml:space="preserve">马尔代夫环礁</t>
  </si>
  <si>
    <t xml:space="preserve">Maldives Atolls</t>
  </si>
  <si>
    <t xml:space="preserve">斯里兰卡</t>
  </si>
  <si>
    <t xml:space="preserve">锡吉里耶</t>
  </si>
  <si>
    <t xml:space="preserve">狮子岩</t>
  </si>
  <si>
    <t xml:space="preserve">Sigiriya Lion Rock</t>
  </si>
  <si>
    <t xml:space="preserve">康提</t>
  </si>
  <si>
    <t xml:space="preserve">佛牙寺·康提湖</t>
  </si>
  <si>
    <t xml:space="preserve">Temple of Tooth &amp; Kandy Lake</t>
  </si>
  <si>
    <t xml:space="preserve">尼泊尔</t>
  </si>
  <si>
    <t xml:space="preserve">加德满都</t>
  </si>
  <si>
    <t xml:space="preserve">加德满都杜巴广场</t>
  </si>
  <si>
    <t xml:space="preserve">Kathmandu Durbar Square</t>
  </si>
  <si>
    <t xml:space="preserve">秋春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</si>
  <si>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/3-4</t>
    </r>
    <r>
      <rPr>
        <sz val="9"/>
        <rFont val="Noto Sans CJK SC"/>
        <family val="2"/>
      </rPr>
      <t xml:space="preserve">月</t>
    </r>
  </si>
  <si>
    <t xml:space="preserve">空气质量差，幼儿不宜久留</t>
  </si>
  <si>
    <t xml:space="preserve">博卡拉</t>
  </si>
  <si>
    <t xml:space="preserve">费瓦湖·安纳普尔纳</t>
  </si>
  <si>
    <t xml:space="preserve">Pokhara &amp; Annapurna</t>
  </si>
  <si>
    <r>
      <rPr>
        <b val="true"/>
        <sz val="9"/>
        <color rgb="FF4A148C"/>
        <rFont val="Arial"/>
        <family val="0"/>
        <charset val="1"/>
      </rPr>
      <t xml:space="preserve">14</t>
    </r>
    <r>
      <rPr>
        <b val="true"/>
        <sz val="9"/>
        <color rgb="FF4A148C"/>
        <rFont val="Noto Sans CJK SC"/>
        <family val="2"/>
      </rPr>
      <t xml:space="preserve">岁以上</t>
    </r>
  </si>
  <si>
    <t xml:space="preserve">高海拔长途徒步</t>
  </si>
  <si>
    <t xml:space="preserve">各国景区统计（含安全度）</t>
  </si>
  <si>
    <t xml:space="preserve">景区数</t>
  </si>
  <si>
    <t xml:space="preserve">签证</t>
  </si>
  <si>
    <t xml:space="preserve">平均旅游
安全度</t>
  </si>
  <si>
    <t xml:space="preserve">平均华人
安全度</t>
  </si>
  <si>
    <t xml:space="preserve">平均口碑</t>
  </si>
  <si>
    <t xml:space="preserve">平均文化价值</t>
  </si>
  <si>
    <t xml:space="preserve">平均性价比</t>
  </si>
  <si>
    <t xml:space="preserve">平均综合
满意度</t>
  </si>
  <si>
    <t xml:space="preserve">评分体系 &amp; 安全评估标准说明</t>
  </si>
  <si>
    <t xml:space="preserve">评估维度</t>
  </si>
  <si>
    <t xml:space="preserve">权重(%)</t>
  </si>
  <si>
    <t xml:space="preserve">评分标准</t>
  </si>
  <si>
    <t xml:space="preserve">数据来源</t>
  </si>
  <si>
    <t xml:space="preserve">游客口碑</t>
  </si>
  <si>
    <r>
      <rPr>
        <sz val="9"/>
        <rFont val="Arial"/>
        <family val="0"/>
        <charset val="1"/>
      </rPr>
      <t xml:space="preserve">TripAdvisor/Google/</t>
    </r>
    <r>
      <rPr>
        <sz val="9"/>
        <rFont val="Noto Sans CJK SC"/>
        <family val="2"/>
      </rPr>
      <t xml:space="preserve">携程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马蜂窝综合评分</t>
    </r>
  </si>
  <si>
    <t xml:space="preserve">全球旅游平台</t>
  </si>
  <si>
    <t xml:space="preserve">⚠ 旅游安全度</t>
  </si>
  <si>
    <t xml:space="preserve">治安水平、政治稳定、恐袭风险、自然灾害、诈骗、紧急救助体系</t>
  </si>
  <si>
    <r>
      <rPr>
        <b val="true"/>
        <sz val="10"/>
        <color rgb="FF8B0000"/>
        <rFont val="Arial"/>
        <family val="0"/>
        <charset val="1"/>
      </rPr>
      <t xml:space="preserve">GPI</t>
    </r>
    <r>
      <rPr>
        <b val="true"/>
        <sz val="10"/>
        <color rgb="FF8B0000"/>
        <rFont val="Noto Sans CJK SC"/>
        <family val="2"/>
      </rPr>
      <t xml:space="preserve">全球和平指数</t>
    </r>
    <r>
      <rPr>
        <b val="true"/>
        <sz val="10"/>
        <color rgb="FF8B0000"/>
        <rFont val="Arial"/>
        <family val="0"/>
        <charset val="1"/>
      </rPr>
      <t xml:space="preserve">+</t>
    </r>
    <r>
      <rPr>
        <b val="true"/>
        <sz val="10"/>
        <color rgb="FF8B0000"/>
        <rFont val="Noto Sans CJK SC"/>
        <family val="2"/>
      </rPr>
      <t xml:space="preserve">外交部安全提醒</t>
    </r>
    <r>
      <rPr>
        <b val="true"/>
        <sz val="10"/>
        <color rgb="FF8B0000"/>
        <rFont val="Arial"/>
        <family val="0"/>
        <charset val="1"/>
      </rPr>
      <t xml:space="preserve">+Numbeo</t>
    </r>
    <r>
      <rPr>
        <b val="true"/>
        <sz val="10"/>
        <color rgb="FF8B0000"/>
        <rFont val="Noto Sans CJK SC"/>
        <family val="2"/>
      </rPr>
      <t xml:space="preserve">犯罪指数</t>
    </r>
  </si>
  <si>
    <t xml:space="preserve">⚠ 华人安全度</t>
  </si>
  <si>
    <t xml:space="preserve">对华人友好度、反亚裔仇恨犯罪、针对华人诈骗(电诈/绑架)、种族歧视风险</t>
  </si>
  <si>
    <t xml:space="preserve">华人社区反馈+媒体报道+使馆提醒+社交媒体</t>
  </si>
  <si>
    <t xml:space="preserve">安全度加分</t>
  </si>
  <si>
    <t xml:space="preserve">旅游安全与华人安全均值的额外权重（安全总权重=17%）</t>
  </si>
  <si>
    <t xml:space="preserve">综合评估</t>
  </si>
  <si>
    <t xml:space="preserve">亲子友好度</t>
  </si>
  <si>
    <t xml:space="preserve">儿童设施、游乐项目、安全性、教育性</t>
  </si>
  <si>
    <t xml:space="preserve">平台家庭游标签</t>
  </si>
  <si>
    <t xml:space="preserve">老人友好度</t>
  </si>
  <si>
    <t xml:space="preserve">无障碍设施、步行难度、休息点、医疗保障</t>
  </si>
  <si>
    <t xml:space="preserve">景区公开信息</t>
  </si>
  <si>
    <t xml:space="preserve">夫妻友好度</t>
  </si>
  <si>
    <t xml:space="preserve">浪漫氛围、拍照打卡、文化体验丰富度</t>
  </si>
  <si>
    <t xml:space="preserve">社交媒体+情侣评论</t>
  </si>
  <si>
    <t xml:space="preserve">一人游友好度</t>
  </si>
  <si>
    <t xml:space="preserve">安全性、社交氛围、独行便利度</t>
  </si>
  <si>
    <t xml:space="preserve">独行游客评论</t>
  </si>
  <si>
    <t xml:space="preserve">从中国交通可达性</t>
  </si>
  <si>
    <t xml:space="preserve">直飞航线、转机、当地交通、从机场到景区距离</t>
  </si>
  <si>
    <t xml:space="preserve">航班数据+交通信息</t>
  </si>
  <si>
    <t xml:space="preserve">季节适宜性</t>
  </si>
  <si>
    <t xml:space="preserve">全年可游天数比例、气候舒适度</t>
  </si>
  <si>
    <t xml:space="preserve">气象数据</t>
  </si>
  <si>
    <t xml:space="preserve">文化/生态/独特价值</t>
  </si>
  <si>
    <r>
      <rPr>
        <sz val="9"/>
        <rFont val="Arial"/>
        <family val="0"/>
        <charset val="1"/>
      </rPr>
      <t xml:space="preserve">UNESCO</t>
    </r>
    <r>
      <rPr>
        <sz val="9"/>
        <rFont val="Noto Sans CJK SC"/>
        <family val="2"/>
      </rPr>
      <t xml:space="preserve">世界遗产、唯一性、文化深度</t>
    </r>
  </si>
  <si>
    <r>
      <rPr>
        <sz val="9"/>
        <rFont val="Arial"/>
        <family val="0"/>
        <charset val="1"/>
      </rPr>
      <t xml:space="preserve">UNESCO+</t>
    </r>
    <r>
      <rPr>
        <sz val="9"/>
        <rFont val="Noto Sans CJK SC"/>
        <family val="2"/>
      </rPr>
      <t xml:space="preserve">专业评估</t>
    </r>
  </si>
  <si>
    <t xml:space="preserve">基础设施与配套</t>
  </si>
  <si>
    <t xml:space="preserve">酒店、餐饮、WiFi、导览、中文服务</t>
  </si>
  <si>
    <t xml:space="preserve">基础设施评估</t>
  </si>
  <si>
    <t xml:space="preserve">门票+食宿/体验价值比</t>
  </si>
  <si>
    <t xml:space="preserve">实际消费+评论</t>
  </si>
  <si>
    <t xml:space="preserve">⚠ 安全度颜色标注说明:</t>
  </si>
  <si>
    <t xml:space="preserve">🟢 绿色 ≥ 9.0</t>
  </si>
  <si>
    <t xml:space="preserve">极安全 — 日本、新加坡、阿联酋、卡塔尔等</t>
  </si>
  <si>
    <t xml:space="preserve">🟡 黄色 7.5-8.9</t>
  </si>
  <si>
    <t xml:space="preserve">安全 — 泰国、韩国、格鲁吉亚、塞尔维亚等，保持基本警惕</t>
  </si>
  <si>
    <t xml:space="preserve">🟠 橙色 6.0-7.4</t>
  </si>
  <si>
    <t xml:space="preserve">一般 — 越南、土耳其、俄罗斯等，需较高警惕</t>
  </si>
  <si>
    <t xml:space="preserve">🔴 红色 &lt; 6.0</t>
  </si>
  <si>
    <t xml:space="preserve">需高度警惕 — 缅甸、菲律宾部分地区等，建议结伴出行</t>
  </si>
  <si>
    <t xml:space="preserve">华人安全度特别说明:</t>
  </si>
  <si>
    <t xml:space="preserve">• 东南亚电信诈骗重灾区(柬埔寨、缅甸)：切勿轻信高薪招聘，评分已大幅下调</t>
  </si>
  <si>
    <t xml:space="preserve">• 菲律宾：绑架和网络博彩诈骗针对华人频发，独行风险较高</t>
  </si>
  <si>
    <t xml:space="preserve">• 澳大利亚：总体安全但反亚裔种族歧视事件偶有发生，华人安全度略低于旅游安全度</t>
  </si>
  <si>
    <t xml:space="preserve">• 日本/新加坡：对华人极友好，华人面孔完全融入当地，安全度最高</t>
  </si>
  <si>
    <t xml:space="preserve">• 中亚/东欧：总体对中国游客友好，但偏远地区基础设施差可能间接影响安全</t>
  </si>
  <si>
    <t xml:space="preserve">声明: 安全评分基于公开数据和社区反馈，仅供参考。出行前请查阅外交部领事服务网(cs.mfa.gov.cn)最新安全提醒。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</si>
</sst>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Noto Sans CJK SC"/>
      <family val="2"/>
      <charset val="1"/>
    </font>
    <font>
      <sz val="9"/>
      <color rgb="FF66666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  <charset val="1"/>
    </font>
    <font>
      <b val="true"/>
      <sz val="9"/>
      <name val="Noto Sans CJK SC"/>
      <family val="2"/>
      <charset val="1"/>
    </font>
    <font>
      <i val="true"/>
      <sz val="8"/>
      <name val="Arial"/>
      <family val="0"/>
      <charset val="1"/>
    </font>
    <font>
      <b val="true"/>
      <sz val="8"/>
      <color rgb="FF006600"/>
      <name val="Noto Sans CJK SC"/>
      <family val="2"/>
      <charset val="1"/>
    </font>
    <font>
      <b val="true"/>
      <sz val="10"/>
      <name val="Arial"/>
      <family val="0"/>
      <charset val="1"/>
    </font>
    <font>
      <sz val="9"/>
      <name val="Noto Sans CJK SC"/>
      <family val="2"/>
    </font>
    <font>
      <b val="true"/>
      <sz val="9"/>
      <color rgb="FF4A148C"/>
      <name val="Noto Sans CJK SC"/>
      <family val="2"/>
    </font>
    <font>
      <sz val="8"/>
      <color rgb="FF666666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4"/>
      <color rgb="FF1F4E79"/>
      <name val="Noto Sans CJK SC"/>
      <family val="2"/>
      <charset val="1"/>
    </font>
    <font>
      <sz val="8"/>
      <name val="Noto Sans CJK SC"/>
      <family val="2"/>
      <charset val="1"/>
    </font>
    <font>
      <b val="true"/>
      <sz val="9"/>
      <name val="Arial"/>
      <family val="0"/>
      <charset val="1"/>
    </font>
    <font>
      <b val="true"/>
      <sz val="10"/>
      <color rgb="FF8B0000"/>
      <name val="Noto Sans CJK SC"/>
      <family val="2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8B0000"/>
      <name val="Noto Sans CJK SC"/>
      <family val="2"/>
    </font>
    <font>
      <b val="true"/>
      <sz val="12"/>
      <color rgb="FF8B000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color rgb="FF8B0000"/>
      <name val="Noto Sans CJK SC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B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B00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5F5E3"/>
      </patternFill>
    </fill>
    <fill>
      <patternFill patternType="solid">
        <fgColor rgb="FFFFFFFF"/>
        <bgColor rgb="FFF2F2F2"/>
      </patternFill>
    </fill>
    <fill>
      <patternFill patternType="solid">
        <fgColor rgb="FFD5F5E3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2CC"/>
      <rgbColor rgb="FFC6EFCE"/>
      <rgbColor rgb="FF4A148C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0" min="9" style="1" width="8"/>
    <col collapsed="false" customWidth="true" hidden="false" outlineLevel="0" max="16" min="11" style="1" width="7"/>
    <col collapsed="false" customWidth="true" hidden="false" outlineLevel="0" max="17" min="17" style="1" width="9"/>
    <col collapsed="false" customWidth="true" hidden="false" outlineLevel="0" max="18" min="18" style="1" width="8"/>
    <col collapsed="false" customWidth="true" hidden="false" outlineLevel="0" max="19" min="19" style="1" width="7"/>
    <col collapsed="false" customWidth="true" hidden="false" outlineLevel="0" max="20" min="20" style="1" width="8"/>
    <col collapsed="false" customWidth="true" hidden="false" outlineLevel="0" max="21" min="21" style="1" width="13"/>
    <col collapsed="false" customWidth="true" hidden="false" outlineLevel="0" max="23" min="22" style="1" width="9"/>
    <col collapsed="false" customWidth="true" hidden="false" outlineLevel="0" max="24" min="24" style="1" width="7"/>
    <col collapsed="false" customWidth="true" hidden="false" outlineLevel="0" max="25" min="25" style="1" width="12"/>
    <col collapsed="false" customWidth="true" hidden="false" outlineLevel="0" max="26" min="26" style="0" width="28"/>
    <col collapsed="false" customWidth="true" hidden="false" outlineLevel="0" max="27" min="27" style="0" width="10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42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6" t="s">
        <v>26</v>
      </c>
      <c r="Z3" s="6" t="s">
        <v>27</v>
      </c>
      <c r="AA3" s="7" t="s">
        <v>28</v>
      </c>
    </row>
    <row r="4" customFormat="false" ht="15" hidden="false" customHeight="true" outlineLevel="0" collapsed="false">
      <c r="A4" s="8" t="n">
        <v>1</v>
      </c>
      <c r="B4" s="9" t="s">
        <v>29</v>
      </c>
      <c r="C4" s="9" t="s">
        <v>30</v>
      </c>
      <c r="D4" s="9" t="s">
        <v>31</v>
      </c>
      <c r="E4" s="10" t="s">
        <v>32</v>
      </c>
      <c r="F4" s="11" t="s">
        <v>33</v>
      </c>
      <c r="G4" s="9" t="s">
        <v>34</v>
      </c>
      <c r="H4" s="12" t="s">
        <v>35</v>
      </c>
      <c r="I4" s="13" t="n">
        <v>9.5</v>
      </c>
      <c r="J4" s="13" t="n">
        <v>9.5</v>
      </c>
      <c r="K4" s="8" t="n">
        <v>9</v>
      </c>
      <c r="L4" s="8" t="n">
        <v>8</v>
      </c>
      <c r="M4" s="8" t="n">
        <v>8</v>
      </c>
      <c r="N4" s="8" t="n">
        <v>8</v>
      </c>
      <c r="O4" s="8" t="n">
        <v>9</v>
      </c>
      <c r="P4" s="8" t="n">
        <v>2</v>
      </c>
      <c r="Q4" s="14" t="n">
        <v>1200</v>
      </c>
      <c r="R4" s="8" t="n">
        <v>9</v>
      </c>
      <c r="S4" s="8" t="n">
        <v>8</v>
      </c>
      <c r="T4" s="9" t="s">
        <v>36</v>
      </c>
      <c r="U4" s="8" t="s">
        <v>37</v>
      </c>
      <c r="V4" s="8" t="n">
        <v>8.5</v>
      </c>
      <c r="W4" s="8" t="n">
        <v>9.5</v>
      </c>
      <c r="X4" s="8" t="n">
        <v>7</v>
      </c>
      <c r="Y4" s="15" t="s">
        <v>38</v>
      </c>
      <c r="Z4" s="16" t="s">
        <v>39</v>
      </c>
      <c r="AA4" s="17" t="n">
        <f aca="false">ROUND(K4*0.12 + I4*0.08 + J4*0.07 + L4*0.06 + M4*0.06 + N4*0.08 + O4*0.06 + R4*0.09 + S4*0.04 + V4*0.13 + W4*0.11 + X4*0.08 + (I4+J4)/2*0.02, 2)</f>
        <v>8.68</v>
      </c>
    </row>
    <row r="5" customFormat="false" ht="15" hidden="false" customHeight="true" outlineLevel="0" collapsed="false">
      <c r="A5" s="18" t="n">
        <v>2</v>
      </c>
      <c r="B5" s="19" t="s">
        <v>29</v>
      </c>
      <c r="C5" s="19" t="s">
        <v>30</v>
      </c>
      <c r="D5" s="19" t="s">
        <v>40</v>
      </c>
      <c r="E5" s="20" t="s">
        <v>41</v>
      </c>
      <c r="F5" s="21" t="s">
        <v>42</v>
      </c>
      <c r="G5" s="19" t="s">
        <v>34</v>
      </c>
      <c r="H5" s="12" t="s">
        <v>35</v>
      </c>
      <c r="I5" s="13" t="n">
        <v>9.5</v>
      </c>
      <c r="J5" s="13" t="n">
        <v>9.5</v>
      </c>
      <c r="K5" s="18" t="n">
        <v>9.5</v>
      </c>
      <c r="L5" s="18" t="n">
        <v>7</v>
      </c>
      <c r="M5" s="18" t="n">
        <v>6</v>
      </c>
      <c r="N5" s="18" t="n">
        <v>10</v>
      </c>
      <c r="O5" s="18" t="n">
        <v>9</v>
      </c>
      <c r="P5" s="18" t="n">
        <v>3</v>
      </c>
      <c r="Q5" s="22" t="n">
        <v>1200</v>
      </c>
      <c r="R5" s="18" t="n">
        <v>8</v>
      </c>
      <c r="S5" s="18" t="n">
        <v>8</v>
      </c>
      <c r="T5" s="19" t="s">
        <v>43</v>
      </c>
      <c r="U5" s="18" t="s">
        <v>44</v>
      </c>
      <c r="V5" s="18" t="n">
        <v>10</v>
      </c>
      <c r="W5" s="18" t="n">
        <v>9.5</v>
      </c>
      <c r="X5" s="18" t="n">
        <v>7</v>
      </c>
      <c r="Y5" s="23" t="s">
        <v>45</v>
      </c>
      <c r="Z5" s="24" t="s">
        <v>46</v>
      </c>
      <c r="AA5" s="25" t="n">
        <f aca="false">ROUND(K5*0.12 + I5*0.08 + J5*0.07 + L5*0.06 + M5*0.06 + N5*0.08 + O5*0.06 + R5*0.09 + S5*0.04 + V5*0.13 + W5*0.11 + X5*0.08 + (I5+J5)/2*0.02, 2)</f>
        <v>8.82</v>
      </c>
    </row>
    <row r="6" customFormat="false" ht="15" hidden="false" customHeight="true" outlineLevel="0" collapsed="false">
      <c r="A6" s="8" t="n">
        <v>3</v>
      </c>
      <c r="B6" s="9" t="s">
        <v>29</v>
      </c>
      <c r="C6" s="9" t="s">
        <v>30</v>
      </c>
      <c r="D6" s="9" t="s">
        <v>40</v>
      </c>
      <c r="E6" s="10" t="s">
        <v>47</v>
      </c>
      <c r="F6" s="11" t="s">
        <v>48</v>
      </c>
      <c r="G6" s="9" t="s">
        <v>49</v>
      </c>
      <c r="H6" s="12" t="s">
        <v>35</v>
      </c>
      <c r="I6" s="13" t="n">
        <v>9.5</v>
      </c>
      <c r="J6" s="13" t="n">
        <v>9.5</v>
      </c>
      <c r="K6" s="8" t="n">
        <v>9.3</v>
      </c>
      <c r="L6" s="8" t="n">
        <v>7</v>
      </c>
      <c r="M6" s="8" t="n">
        <v>5</v>
      </c>
      <c r="N6" s="8" t="n">
        <v>9</v>
      </c>
      <c r="O6" s="8" t="n">
        <v>9</v>
      </c>
      <c r="P6" s="8" t="n">
        <v>3</v>
      </c>
      <c r="Q6" s="14" t="n">
        <v>1000</v>
      </c>
      <c r="R6" s="8" t="n">
        <v>8</v>
      </c>
      <c r="S6" s="8" t="n">
        <v>8</v>
      </c>
      <c r="T6" s="9" t="s">
        <v>36</v>
      </c>
      <c r="U6" s="8" t="s">
        <v>37</v>
      </c>
      <c r="V6" s="8" t="n">
        <v>9.5</v>
      </c>
      <c r="W6" s="8" t="n">
        <v>9</v>
      </c>
      <c r="X6" s="8" t="n">
        <v>8</v>
      </c>
      <c r="Y6" s="26" t="s">
        <v>50</v>
      </c>
      <c r="Z6" s="16" t="s">
        <v>51</v>
      </c>
      <c r="AA6" s="17" t="n">
        <f aca="false">ROUND(K6*0.12 + I6*0.08 + J6*0.07 + L6*0.06 + M6*0.06 + N6*0.08 + O6*0.06 + R6*0.09 + S6*0.04 + V6*0.13 + W6*0.11 + X6*0.08 + (I6+J6)/2*0.02, 2)</f>
        <v>8.62</v>
      </c>
    </row>
    <row r="7" customFormat="false" ht="15" hidden="false" customHeight="true" outlineLevel="0" collapsed="false">
      <c r="A7" s="18" t="n">
        <v>4</v>
      </c>
      <c r="B7" s="19" t="s">
        <v>29</v>
      </c>
      <c r="C7" s="19" t="s">
        <v>30</v>
      </c>
      <c r="D7" s="19" t="s">
        <v>52</v>
      </c>
      <c r="E7" s="20" t="s">
        <v>53</v>
      </c>
      <c r="F7" s="21" t="s">
        <v>54</v>
      </c>
      <c r="G7" s="19" t="s">
        <v>55</v>
      </c>
      <c r="H7" s="12" t="s">
        <v>35</v>
      </c>
      <c r="I7" s="13" t="n">
        <v>9.5</v>
      </c>
      <c r="J7" s="13" t="n">
        <v>9.5</v>
      </c>
      <c r="K7" s="18" t="n">
        <v>9</v>
      </c>
      <c r="L7" s="18" t="n">
        <v>8</v>
      </c>
      <c r="M7" s="18" t="n">
        <v>7</v>
      </c>
      <c r="N7" s="18" t="n">
        <v>9</v>
      </c>
      <c r="O7" s="18" t="n">
        <v>9</v>
      </c>
      <c r="P7" s="18" t="n">
        <v>4</v>
      </c>
      <c r="Q7" s="22" t="n">
        <v>1200</v>
      </c>
      <c r="R7" s="18" t="n">
        <v>9</v>
      </c>
      <c r="S7" s="18" t="n">
        <v>8</v>
      </c>
      <c r="T7" s="19" t="s">
        <v>43</v>
      </c>
      <c r="U7" s="18" t="s">
        <v>37</v>
      </c>
      <c r="V7" s="18" t="n">
        <v>8.5</v>
      </c>
      <c r="W7" s="18" t="n">
        <v>9.5</v>
      </c>
      <c r="X7" s="18" t="n">
        <v>7.5</v>
      </c>
      <c r="Y7" s="23" t="s">
        <v>56</v>
      </c>
      <c r="Z7" s="24" t="s">
        <v>57</v>
      </c>
      <c r="AA7" s="25" t="n">
        <f aca="false">ROUND(K7*0.12 + I7*0.08 + J7*0.07 + L7*0.06 + M7*0.06 + N7*0.08 + O7*0.06 + R7*0.09 + S7*0.04 + V7*0.13 + W7*0.11 + X7*0.08 + (I7+J7)/2*0.02, 2)</f>
        <v>8.74</v>
      </c>
    </row>
    <row r="8" customFormat="false" ht="15" hidden="false" customHeight="true" outlineLevel="0" collapsed="false">
      <c r="A8" s="8" t="n">
        <v>5</v>
      </c>
      <c r="B8" s="9" t="s">
        <v>29</v>
      </c>
      <c r="C8" s="9" t="s">
        <v>30</v>
      </c>
      <c r="D8" s="9" t="s">
        <v>58</v>
      </c>
      <c r="E8" s="10" t="s">
        <v>59</v>
      </c>
      <c r="F8" s="11" t="s">
        <v>60</v>
      </c>
      <c r="G8" s="9" t="s">
        <v>61</v>
      </c>
      <c r="H8" s="12" t="s">
        <v>35</v>
      </c>
      <c r="I8" s="13" t="n">
        <v>9.5</v>
      </c>
      <c r="J8" s="13" t="n">
        <v>9.5</v>
      </c>
      <c r="K8" s="8" t="n">
        <v>9.2</v>
      </c>
      <c r="L8" s="8" t="n">
        <v>9</v>
      </c>
      <c r="M8" s="8" t="n">
        <v>7</v>
      </c>
      <c r="N8" s="8" t="n">
        <v>9</v>
      </c>
      <c r="O8" s="8" t="n">
        <v>8</v>
      </c>
      <c r="P8" s="8" t="n">
        <v>4</v>
      </c>
      <c r="Q8" s="14" t="n">
        <v>1000</v>
      </c>
      <c r="R8" s="8" t="n">
        <v>8</v>
      </c>
      <c r="S8" s="8" t="n">
        <v>8</v>
      </c>
      <c r="T8" s="9" t="s">
        <v>43</v>
      </c>
      <c r="U8" s="8" t="s">
        <v>37</v>
      </c>
      <c r="V8" s="8" t="n">
        <v>9</v>
      </c>
      <c r="W8" s="8" t="n">
        <v>9</v>
      </c>
      <c r="X8" s="8" t="n">
        <v>8</v>
      </c>
      <c r="Y8" s="23" t="s">
        <v>56</v>
      </c>
      <c r="Z8" s="16" t="s">
        <v>57</v>
      </c>
      <c r="AA8" s="17" t="n">
        <f aca="false">ROUND(K8*0.12 + I8*0.08 + J8*0.07 + L8*0.06 + M8*0.06 + N8*0.08 + O8*0.06 + R8*0.09 + S8*0.04 + V8*0.13 + W8*0.11 + X8*0.08 + (I8+J8)/2*0.02, 2)</f>
        <v>8.72</v>
      </c>
    </row>
    <row r="9" customFormat="false" ht="15" hidden="false" customHeight="true" outlineLevel="0" collapsed="false">
      <c r="A9" s="18" t="n">
        <v>6</v>
      </c>
      <c r="B9" s="19" t="s">
        <v>29</v>
      </c>
      <c r="C9" s="19" t="s">
        <v>30</v>
      </c>
      <c r="D9" s="19" t="s">
        <v>62</v>
      </c>
      <c r="E9" s="20" t="s">
        <v>62</v>
      </c>
      <c r="F9" s="21" t="s">
        <v>63</v>
      </c>
      <c r="G9" s="19" t="s">
        <v>64</v>
      </c>
      <c r="H9" s="12" t="s">
        <v>35</v>
      </c>
      <c r="I9" s="13" t="n">
        <v>9.5</v>
      </c>
      <c r="J9" s="13" t="n">
        <v>9.5</v>
      </c>
      <c r="K9" s="18" t="n">
        <v>9.5</v>
      </c>
      <c r="L9" s="18" t="n">
        <v>5</v>
      </c>
      <c r="M9" s="18" t="n">
        <v>3</v>
      </c>
      <c r="N9" s="18" t="n">
        <v>9</v>
      </c>
      <c r="O9" s="18" t="n">
        <v>8</v>
      </c>
      <c r="P9" s="18" t="n">
        <v>8</v>
      </c>
      <c r="Q9" s="22" t="n">
        <v>1500</v>
      </c>
      <c r="R9" s="18" t="n">
        <v>7</v>
      </c>
      <c r="S9" s="18" t="n">
        <v>5</v>
      </c>
      <c r="T9" s="19" t="s">
        <v>65</v>
      </c>
      <c r="U9" s="18" t="s">
        <v>66</v>
      </c>
      <c r="V9" s="18" t="n">
        <v>10</v>
      </c>
      <c r="W9" s="18" t="n">
        <v>8</v>
      </c>
      <c r="X9" s="18" t="n">
        <v>7</v>
      </c>
      <c r="Y9" s="27" t="s">
        <v>67</v>
      </c>
      <c r="Z9" s="24" t="s">
        <v>68</v>
      </c>
      <c r="AA9" s="25" t="n">
        <f aca="false">ROUND(K9*0.12 + I9*0.08 + J9*0.07 + L9*0.06 + M9*0.06 + N9*0.08 + O9*0.06 + R9*0.09 + S9*0.04 + V9*0.13 + W9*0.11 + X9*0.08 + (I9+J9)/2*0.02, 2)</f>
        <v>8.01</v>
      </c>
    </row>
    <row r="10" customFormat="false" ht="15" hidden="false" customHeight="true" outlineLevel="0" collapsed="false">
      <c r="A10" s="8" t="n">
        <v>7</v>
      </c>
      <c r="B10" s="9" t="s">
        <v>29</v>
      </c>
      <c r="C10" s="9" t="s">
        <v>30</v>
      </c>
      <c r="D10" s="9" t="s">
        <v>69</v>
      </c>
      <c r="E10" s="10" t="s">
        <v>70</v>
      </c>
      <c r="F10" s="11" t="s">
        <v>71</v>
      </c>
      <c r="G10" s="9" t="s">
        <v>34</v>
      </c>
      <c r="H10" s="12" t="s">
        <v>35</v>
      </c>
      <c r="I10" s="13" t="n">
        <v>9.5</v>
      </c>
      <c r="J10" s="13" t="n">
        <v>9.5</v>
      </c>
      <c r="K10" s="8" t="n">
        <v>9</v>
      </c>
      <c r="L10" s="8" t="n">
        <v>7</v>
      </c>
      <c r="M10" s="8" t="n">
        <v>6</v>
      </c>
      <c r="N10" s="8" t="n">
        <v>9</v>
      </c>
      <c r="O10" s="8" t="n">
        <v>8</v>
      </c>
      <c r="P10" s="8" t="n">
        <v>4</v>
      </c>
      <c r="Q10" s="14" t="n">
        <v>1000</v>
      </c>
      <c r="R10" s="8" t="n">
        <v>7</v>
      </c>
      <c r="S10" s="8" t="n">
        <v>7</v>
      </c>
      <c r="T10" s="9" t="s">
        <v>43</v>
      </c>
      <c r="U10" s="8" t="s">
        <v>37</v>
      </c>
      <c r="V10" s="8" t="n">
        <v>9.5</v>
      </c>
      <c r="W10" s="8" t="n">
        <v>8.5</v>
      </c>
      <c r="X10" s="8" t="n">
        <v>8</v>
      </c>
      <c r="Y10" s="23" t="s">
        <v>56</v>
      </c>
      <c r="Z10" s="16" t="s">
        <v>57</v>
      </c>
      <c r="AA10" s="17" t="n">
        <f aca="false">ROUND(K10*0.12 + I10*0.08 + J10*0.07 + L10*0.06 + M10*0.06 + N10*0.08 + O10*0.06 + R10*0.09 + S10*0.04 + V10*0.13 + W10*0.11 + X10*0.08 + (I10+J10)/2*0.02, 2)</f>
        <v>8.4</v>
      </c>
    </row>
    <row r="11" customFormat="false" ht="15" hidden="false" customHeight="true" outlineLevel="0" collapsed="false">
      <c r="A11" s="18" t="n">
        <v>8</v>
      </c>
      <c r="B11" s="19" t="s">
        <v>29</v>
      </c>
      <c r="C11" s="19" t="s">
        <v>30</v>
      </c>
      <c r="D11" s="19" t="s">
        <v>72</v>
      </c>
      <c r="E11" s="20" t="s">
        <v>73</v>
      </c>
      <c r="F11" s="21" t="s">
        <v>74</v>
      </c>
      <c r="G11" s="19" t="s">
        <v>75</v>
      </c>
      <c r="H11" s="12" t="s">
        <v>35</v>
      </c>
      <c r="I11" s="13" t="n">
        <v>9.5</v>
      </c>
      <c r="J11" s="13" t="n">
        <v>9.5</v>
      </c>
      <c r="K11" s="18" t="n">
        <v>9.2</v>
      </c>
      <c r="L11" s="18" t="n">
        <v>7</v>
      </c>
      <c r="M11" s="18" t="n">
        <v>5</v>
      </c>
      <c r="N11" s="18" t="n">
        <v>10</v>
      </c>
      <c r="O11" s="18" t="n">
        <v>7</v>
      </c>
      <c r="P11" s="18" t="n">
        <v>5</v>
      </c>
      <c r="Q11" s="22" t="n">
        <v>1300</v>
      </c>
      <c r="R11" s="18" t="n">
        <v>6</v>
      </c>
      <c r="S11" s="18" t="n">
        <v>5</v>
      </c>
      <c r="T11" s="19" t="s">
        <v>65</v>
      </c>
      <c r="U11" s="18" t="s">
        <v>76</v>
      </c>
      <c r="V11" s="18" t="n">
        <v>9</v>
      </c>
      <c r="W11" s="18" t="n">
        <v>8</v>
      </c>
      <c r="X11" s="18" t="n">
        <v>7.5</v>
      </c>
      <c r="Y11" s="15" t="s">
        <v>38</v>
      </c>
      <c r="Z11" s="24" t="s">
        <v>77</v>
      </c>
      <c r="AA11" s="25" t="n">
        <f aca="false">ROUND(K11*0.12 + I11*0.08 + J11*0.07 + L11*0.06 + M11*0.06 + N11*0.08 + O11*0.06 + R11*0.09 + S11*0.04 + V11*0.13 + W11*0.11 + X11*0.08 + (I11+J11)/2*0.02, 2)</f>
        <v>8.05</v>
      </c>
    </row>
    <row r="12" customFormat="false" ht="15" hidden="false" customHeight="true" outlineLevel="0" collapsed="false">
      <c r="A12" s="8" t="n">
        <v>9</v>
      </c>
      <c r="B12" s="9" t="s">
        <v>29</v>
      </c>
      <c r="C12" s="9" t="s">
        <v>30</v>
      </c>
      <c r="D12" s="9" t="s">
        <v>78</v>
      </c>
      <c r="E12" s="10" t="s">
        <v>79</v>
      </c>
      <c r="F12" s="11" t="s">
        <v>80</v>
      </c>
      <c r="G12" s="9" t="s">
        <v>81</v>
      </c>
      <c r="H12" s="12" t="s">
        <v>35</v>
      </c>
      <c r="I12" s="13" t="n">
        <v>9.5</v>
      </c>
      <c r="J12" s="13" t="n">
        <v>9.5</v>
      </c>
      <c r="K12" s="8" t="n">
        <v>9</v>
      </c>
      <c r="L12" s="8" t="n">
        <v>9</v>
      </c>
      <c r="M12" s="8" t="n">
        <v>6</v>
      </c>
      <c r="N12" s="8" t="n">
        <v>8</v>
      </c>
      <c r="O12" s="8" t="n">
        <v>7</v>
      </c>
      <c r="P12" s="8" t="n">
        <v>4</v>
      </c>
      <c r="Q12" s="14" t="n">
        <v>1200</v>
      </c>
      <c r="R12" s="8" t="n">
        <v>7</v>
      </c>
      <c r="S12" s="8" t="n">
        <v>7</v>
      </c>
      <c r="T12" s="9" t="s">
        <v>82</v>
      </c>
      <c r="U12" s="8" t="s">
        <v>83</v>
      </c>
      <c r="V12" s="8" t="n">
        <v>8</v>
      </c>
      <c r="W12" s="8" t="n">
        <v>9</v>
      </c>
      <c r="X12" s="8" t="n">
        <v>7</v>
      </c>
      <c r="Y12" s="28" t="s">
        <v>84</v>
      </c>
      <c r="Z12" s="16" t="s">
        <v>85</v>
      </c>
      <c r="AA12" s="17" t="n">
        <f aca="false">ROUND(K12*0.12 + I12*0.08 + J12*0.07 + L12*0.06 + M12*0.06 + N12*0.08 + O12*0.06 + R12*0.09 + S12*0.04 + V12*0.13 + W12*0.11 + X12*0.08 + (I12+J12)/2*0.02, 2)</f>
        <v>8.16</v>
      </c>
    </row>
    <row r="13" customFormat="false" ht="15" hidden="false" customHeight="true" outlineLevel="0" collapsed="false">
      <c r="A13" s="18" t="n">
        <v>10</v>
      </c>
      <c r="B13" s="19" t="s">
        <v>29</v>
      </c>
      <c r="C13" s="19" t="s">
        <v>30</v>
      </c>
      <c r="D13" s="19" t="s">
        <v>86</v>
      </c>
      <c r="E13" s="20" t="s">
        <v>87</v>
      </c>
      <c r="F13" s="21" t="s">
        <v>88</v>
      </c>
      <c r="G13" s="19" t="s">
        <v>89</v>
      </c>
      <c r="H13" s="12" t="s">
        <v>35</v>
      </c>
      <c r="I13" s="13" t="n">
        <v>9.5</v>
      </c>
      <c r="J13" s="13" t="n">
        <v>9.5</v>
      </c>
      <c r="K13" s="18" t="n">
        <v>9</v>
      </c>
      <c r="L13" s="18" t="n">
        <v>6</v>
      </c>
      <c r="M13" s="18" t="n">
        <v>7</v>
      </c>
      <c r="N13" s="18" t="n">
        <v>9</v>
      </c>
      <c r="O13" s="18" t="n">
        <v>8</v>
      </c>
      <c r="P13" s="18" t="n">
        <v>2</v>
      </c>
      <c r="Q13" s="22" t="n">
        <v>1100</v>
      </c>
      <c r="R13" s="18" t="n">
        <v>7</v>
      </c>
      <c r="S13" s="18" t="n">
        <v>8</v>
      </c>
      <c r="T13" s="19" t="s">
        <v>82</v>
      </c>
      <c r="U13" s="18" t="s">
        <v>44</v>
      </c>
      <c r="V13" s="18" t="n">
        <v>9</v>
      </c>
      <c r="W13" s="18" t="n">
        <v>9</v>
      </c>
      <c r="X13" s="18" t="n">
        <v>7.5</v>
      </c>
      <c r="Y13" s="23" t="s">
        <v>45</v>
      </c>
      <c r="Z13" s="24" t="s">
        <v>46</v>
      </c>
      <c r="AA13" s="25" t="n">
        <f aca="false">ROUND(K13*0.12 + I13*0.08 + J13*0.07 + L13*0.06 + M13*0.06 + N13*0.08 + O13*0.06 + R13*0.09 + S13*0.04 + V13*0.13 + W13*0.11 + X13*0.08 + (I13+J13)/2*0.02, 2)</f>
        <v>8.39</v>
      </c>
    </row>
    <row r="14" customFormat="false" ht="15" hidden="false" customHeight="true" outlineLevel="0" collapsed="false">
      <c r="A14" s="8" t="n">
        <v>11</v>
      </c>
      <c r="B14" s="9" t="s">
        <v>29</v>
      </c>
      <c r="C14" s="9" t="s">
        <v>30</v>
      </c>
      <c r="D14" s="9" t="s">
        <v>90</v>
      </c>
      <c r="E14" s="10" t="s">
        <v>91</v>
      </c>
      <c r="F14" s="11" t="s">
        <v>92</v>
      </c>
      <c r="G14" s="9" t="s">
        <v>93</v>
      </c>
      <c r="H14" s="12" t="s">
        <v>35</v>
      </c>
      <c r="I14" s="13" t="n">
        <v>9.5</v>
      </c>
      <c r="J14" s="13" t="n">
        <v>9.5</v>
      </c>
      <c r="K14" s="8" t="n">
        <v>9</v>
      </c>
      <c r="L14" s="8" t="n">
        <v>4</v>
      </c>
      <c r="M14" s="8" t="n">
        <v>3</v>
      </c>
      <c r="N14" s="8" t="n">
        <v>9</v>
      </c>
      <c r="O14" s="8" t="n">
        <v>8</v>
      </c>
      <c r="P14" s="8" t="n">
        <v>6</v>
      </c>
      <c r="Q14" s="14" t="n">
        <v>1200</v>
      </c>
      <c r="R14" s="8" t="n">
        <v>6</v>
      </c>
      <c r="S14" s="8" t="n">
        <v>4</v>
      </c>
      <c r="T14" s="9" t="s">
        <v>94</v>
      </c>
      <c r="U14" s="8" t="s">
        <v>95</v>
      </c>
      <c r="V14" s="8" t="n">
        <v>9</v>
      </c>
      <c r="W14" s="8" t="n">
        <v>7.5</v>
      </c>
      <c r="X14" s="8" t="n">
        <v>7</v>
      </c>
      <c r="Y14" s="29" t="s">
        <v>96</v>
      </c>
      <c r="Z14" s="16" t="s">
        <v>97</v>
      </c>
      <c r="AA14" s="17" t="n">
        <f aca="false">ROUND(K14*0.12 + I14*0.08 + J14*0.07 + L14*0.06 + M14*0.06 + N14*0.08 + O14*0.06 + R14*0.09 + S14*0.04 + V14*0.13 + W14*0.11 + X14*0.08 + (I14+J14)/2*0.02, 2)</f>
        <v>7.57</v>
      </c>
    </row>
    <row r="15" customFormat="false" ht="15" hidden="false" customHeight="true" outlineLevel="0" collapsed="false">
      <c r="A15" s="18" t="n">
        <v>12</v>
      </c>
      <c r="B15" s="19" t="s">
        <v>29</v>
      </c>
      <c r="C15" s="19" t="s">
        <v>30</v>
      </c>
      <c r="D15" s="19" t="s">
        <v>98</v>
      </c>
      <c r="E15" s="20" t="s">
        <v>99</v>
      </c>
      <c r="F15" s="21" t="s">
        <v>100</v>
      </c>
      <c r="G15" s="19" t="s">
        <v>101</v>
      </c>
      <c r="H15" s="12" t="s">
        <v>35</v>
      </c>
      <c r="I15" s="13" t="n">
        <v>9.5</v>
      </c>
      <c r="J15" s="13" t="n">
        <v>9.5</v>
      </c>
      <c r="K15" s="18" t="n">
        <v>8.8</v>
      </c>
      <c r="L15" s="18" t="n">
        <v>7</v>
      </c>
      <c r="M15" s="18" t="n">
        <v>8</v>
      </c>
      <c r="N15" s="18" t="n">
        <v>10</v>
      </c>
      <c r="O15" s="18" t="n">
        <v>7</v>
      </c>
      <c r="P15" s="18" t="n">
        <v>5</v>
      </c>
      <c r="Q15" s="22" t="n">
        <v>1500</v>
      </c>
      <c r="R15" s="18" t="n">
        <v>8</v>
      </c>
      <c r="S15" s="18" t="n">
        <v>7</v>
      </c>
      <c r="T15" s="19" t="s">
        <v>102</v>
      </c>
      <c r="U15" s="18" t="s">
        <v>103</v>
      </c>
      <c r="V15" s="18" t="n">
        <v>8</v>
      </c>
      <c r="W15" s="18" t="n">
        <v>9</v>
      </c>
      <c r="X15" s="18" t="n">
        <v>6.5</v>
      </c>
      <c r="Y15" s="23" t="s">
        <v>56</v>
      </c>
      <c r="Z15" s="24" t="s">
        <v>57</v>
      </c>
      <c r="AA15" s="25" t="n">
        <f aca="false">ROUND(K15*0.12 + I15*0.08 + J15*0.07 + L15*0.06 + M15*0.06 + N15*0.08 + O15*0.06 + R15*0.09 + S15*0.04 + V15*0.13 + W15*0.11 + X15*0.08 + (I15+J15)/2*0.02, 2)</f>
        <v>8.34</v>
      </c>
    </row>
    <row r="16" customFormat="false" ht="15" hidden="false" customHeight="true" outlineLevel="0" collapsed="false">
      <c r="A16" s="8" t="n">
        <v>13</v>
      </c>
      <c r="B16" s="9" t="s">
        <v>29</v>
      </c>
      <c r="C16" s="9" t="s">
        <v>30</v>
      </c>
      <c r="D16" s="9" t="s">
        <v>104</v>
      </c>
      <c r="E16" s="10" t="s">
        <v>105</v>
      </c>
      <c r="F16" s="11" t="s">
        <v>106</v>
      </c>
      <c r="G16" s="9" t="s">
        <v>107</v>
      </c>
      <c r="H16" s="12" t="s">
        <v>35</v>
      </c>
      <c r="I16" s="13" t="n">
        <v>9.5</v>
      </c>
      <c r="J16" s="13" t="n">
        <v>9.5</v>
      </c>
      <c r="K16" s="8" t="n">
        <v>9.3</v>
      </c>
      <c r="L16" s="8" t="n">
        <v>6</v>
      </c>
      <c r="M16" s="8" t="n">
        <v>5</v>
      </c>
      <c r="N16" s="8" t="n">
        <v>9</v>
      </c>
      <c r="O16" s="8" t="n">
        <v>8</v>
      </c>
      <c r="P16" s="8" t="n">
        <v>4</v>
      </c>
      <c r="Q16" s="14" t="n">
        <v>1100</v>
      </c>
      <c r="R16" s="8" t="n">
        <v>5</v>
      </c>
      <c r="S16" s="8" t="n">
        <v>5</v>
      </c>
      <c r="T16" s="9" t="s">
        <v>108</v>
      </c>
      <c r="U16" s="8" t="s">
        <v>109</v>
      </c>
      <c r="V16" s="8" t="n">
        <v>9.5</v>
      </c>
      <c r="W16" s="8" t="n">
        <v>7.5</v>
      </c>
      <c r="X16" s="8" t="n">
        <v>7.5</v>
      </c>
      <c r="Y16" s="26" t="s">
        <v>50</v>
      </c>
      <c r="Z16" s="16" t="s">
        <v>51</v>
      </c>
      <c r="AA16" s="17" t="n">
        <f aca="false">ROUND(K16*0.12 + I16*0.08 + J16*0.07 + L16*0.06 + M16*0.06 + N16*0.08 + O16*0.06 + R16*0.09 + S16*0.04 + V16*0.13 + W16*0.11 + X16*0.08 + (I16+J16)/2*0.02, 2)</f>
        <v>7.9</v>
      </c>
    </row>
    <row r="17" customFormat="false" ht="15" hidden="false" customHeight="true" outlineLevel="0" collapsed="false">
      <c r="A17" s="18" t="n">
        <v>14</v>
      </c>
      <c r="B17" s="19" t="s">
        <v>29</v>
      </c>
      <c r="C17" s="19" t="s">
        <v>30</v>
      </c>
      <c r="D17" s="19" t="s">
        <v>110</v>
      </c>
      <c r="E17" s="20" t="s">
        <v>111</v>
      </c>
      <c r="F17" s="21" t="s">
        <v>112</v>
      </c>
      <c r="G17" s="19" t="s">
        <v>113</v>
      </c>
      <c r="H17" s="12" t="s">
        <v>35</v>
      </c>
      <c r="I17" s="13" t="n">
        <v>9.5</v>
      </c>
      <c r="J17" s="13" t="n">
        <v>9.5</v>
      </c>
      <c r="K17" s="18" t="n">
        <v>8.8</v>
      </c>
      <c r="L17" s="18" t="n">
        <v>7</v>
      </c>
      <c r="M17" s="18" t="n">
        <v>6</v>
      </c>
      <c r="N17" s="18" t="n">
        <v>9</v>
      </c>
      <c r="O17" s="18" t="n">
        <v>8</v>
      </c>
      <c r="P17" s="18" t="n">
        <v>4</v>
      </c>
      <c r="Q17" s="22" t="n">
        <v>1100</v>
      </c>
      <c r="R17" s="18" t="n">
        <v>8</v>
      </c>
      <c r="S17" s="18" t="n">
        <v>8</v>
      </c>
      <c r="T17" s="19" t="s">
        <v>114</v>
      </c>
      <c r="U17" s="18" t="s">
        <v>115</v>
      </c>
      <c r="V17" s="18" t="n">
        <v>8.5</v>
      </c>
      <c r="W17" s="18" t="n">
        <v>8.5</v>
      </c>
      <c r="X17" s="18" t="n">
        <v>8</v>
      </c>
      <c r="Y17" s="23" t="s">
        <v>56</v>
      </c>
      <c r="Z17" s="24" t="s">
        <v>57</v>
      </c>
      <c r="AA17" s="25" t="n">
        <f aca="false">ROUND(K17*0.12 + I17*0.08 + J17*0.07 + L17*0.06 + M17*0.06 + N17*0.08 + O17*0.06 + R17*0.09 + S17*0.04 + V17*0.13 + W17*0.11 + X17*0.08 + (I17+J17)/2*0.02, 2)</f>
        <v>8.37</v>
      </c>
    </row>
    <row r="18" customFormat="false" ht="15" hidden="false" customHeight="true" outlineLevel="0" collapsed="false">
      <c r="A18" s="8" t="n">
        <v>15</v>
      </c>
      <c r="B18" s="9" t="s">
        <v>29</v>
      </c>
      <c r="C18" s="9" t="s">
        <v>30</v>
      </c>
      <c r="D18" s="9" t="s">
        <v>116</v>
      </c>
      <c r="E18" s="10" t="s">
        <v>117</v>
      </c>
      <c r="F18" s="11" t="s">
        <v>118</v>
      </c>
      <c r="G18" s="9" t="s">
        <v>34</v>
      </c>
      <c r="H18" s="12" t="s">
        <v>35</v>
      </c>
      <c r="I18" s="13" t="n">
        <v>9.5</v>
      </c>
      <c r="J18" s="13" t="n">
        <v>9.5</v>
      </c>
      <c r="K18" s="8" t="n">
        <v>9</v>
      </c>
      <c r="L18" s="8" t="n">
        <v>6</v>
      </c>
      <c r="M18" s="8" t="n">
        <v>5</v>
      </c>
      <c r="N18" s="8" t="n">
        <v>8</v>
      </c>
      <c r="O18" s="8" t="n">
        <v>8</v>
      </c>
      <c r="P18" s="8" t="n">
        <v>4</v>
      </c>
      <c r="Q18" s="14" t="n">
        <v>1100</v>
      </c>
      <c r="R18" s="8" t="n">
        <v>7</v>
      </c>
      <c r="S18" s="8" t="n">
        <v>7</v>
      </c>
      <c r="T18" s="9" t="s">
        <v>43</v>
      </c>
      <c r="U18" s="8" t="s">
        <v>119</v>
      </c>
      <c r="V18" s="8" t="n">
        <v>9.5</v>
      </c>
      <c r="W18" s="8" t="n">
        <v>8</v>
      </c>
      <c r="X18" s="8" t="n">
        <v>7.5</v>
      </c>
      <c r="Y18" s="26" t="s">
        <v>50</v>
      </c>
      <c r="Z18" s="16" t="s">
        <v>51</v>
      </c>
      <c r="AA18" s="17" t="n">
        <f aca="false">ROUND(K18*0.12 + I18*0.08 + J18*0.07 + L18*0.06 + M18*0.06 + N18*0.08 + O18*0.06 + R18*0.09 + S18*0.04 + V18*0.13 + W18*0.11 + X18*0.08 + (I18+J18)/2*0.02, 2)</f>
        <v>8.1</v>
      </c>
    </row>
    <row r="19" customFormat="false" ht="15" hidden="false" customHeight="true" outlineLevel="0" collapsed="false">
      <c r="A19" s="18" t="n">
        <v>16</v>
      </c>
      <c r="B19" s="19" t="s">
        <v>29</v>
      </c>
      <c r="C19" s="19" t="s">
        <v>30</v>
      </c>
      <c r="D19" s="19" t="s">
        <v>120</v>
      </c>
      <c r="E19" s="20" t="s">
        <v>120</v>
      </c>
      <c r="F19" s="21" t="s">
        <v>121</v>
      </c>
      <c r="G19" s="19" t="s">
        <v>49</v>
      </c>
      <c r="H19" s="12" t="s">
        <v>35</v>
      </c>
      <c r="I19" s="13" t="n">
        <v>9.5</v>
      </c>
      <c r="J19" s="13" t="n">
        <v>9.5</v>
      </c>
      <c r="K19" s="18" t="n">
        <v>9</v>
      </c>
      <c r="L19" s="18" t="n">
        <v>5</v>
      </c>
      <c r="M19" s="18" t="n">
        <v>5</v>
      </c>
      <c r="N19" s="18" t="n">
        <v>8</v>
      </c>
      <c r="O19" s="18" t="n">
        <v>9</v>
      </c>
      <c r="P19" s="18" t="n">
        <v>5</v>
      </c>
      <c r="Q19" s="22" t="n">
        <v>1200</v>
      </c>
      <c r="R19" s="18" t="n">
        <v>6</v>
      </c>
      <c r="S19" s="18" t="n">
        <v>7</v>
      </c>
      <c r="T19" s="19" t="s">
        <v>122</v>
      </c>
      <c r="U19" s="18" t="s">
        <v>123</v>
      </c>
      <c r="V19" s="18" t="n">
        <v>9.5</v>
      </c>
      <c r="W19" s="18" t="n">
        <v>8</v>
      </c>
      <c r="X19" s="18" t="n">
        <v>7.5</v>
      </c>
      <c r="Y19" s="29" t="s">
        <v>96</v>
      </c>
      <c r="Z19" s="24" t="s">
        <v>124</v>
      </c>
      <c r="AA19" s="25" t="n">
        <f aca="false">ROUND(K19*0.12 + I19*0.08 + J19*0.07 + L19*0.06 + M19*0.06 + N19*0.08 + O19*0.06 + R19*0.09 + S19*0.04 + V19*0.13 + W19*0.11 + X19*0.08 + (I19+J19)/2*0.02, 2)</f>
        <v>8.01</v>
      </c>
    </row>
    <row r="20" customFormat="false" ht="15" hidden="false" customHeight="true" outlineLevel="0" collapsed="false">
      <c r="A20" s="8" t="n">
        <v>17</v>
      </c>
      <c r="B20" s="9" t="s">
        <v>29</v>
      </c>
      <c r="C20" s="9" t="s">
        <v>30</v>
      </c>
      <c r="D20" s="9" t="s">
        <v>125</v>
      </c>
      <c r="E20" s="10" t="s">
        <v>126</v>
      </c>
      <c r="F20" s="11" t="s">
        <v>127</v>
      </c>
      <c r="G20" s="9" t="s">
        <v>34</v>
      </c>
      <c r="H20" s="12" t="s">
        <v>35</v>
      </c>
      <c r="I20" s="13" t="n">
        <v>9.5</v>
      </c>
      <c r="J20" s="13" t="n">
        <v>9.5</v>
      </c>
      <c r="K20" s="8" t="n">
        <v>8.3</v>
      </c>
      <c r="L20" s="8" t="n">
        <v>7</v>
      </c>
      <c r="M20" s="8" t="n">
        <v>7</v>
      </c>
      <c r="N20" s="8" t="n">
        <v>7</v>
      </c>
      <c r="O20" s="8" t="n">
        <v>8</v>
      </c>
      <c r="P20" s="8" t="n">
        <v>3</v>
      </c>
      <c r="Q20" s="14" t="n">
        <v>1000</v>
      </c>
      <c r="R20" s="8" t="n">
        <v>8</v>
      </c>
      <c r="S20" s="8" t="n">
        <v>8</v>
      </c>
      <c r="T20" s="9" t="s">
        <v>128</v>
      </c>
      <c r="U20" s="8" t="s">
        <v>129</v>
      </c>
      <c r="V20" s="8" t="n">
        <v>8</v>
      </c>
      <c r="W20" s="8" t="n">
        <v>9</v>
      </c>
      <c r="X20" s="8" t="n">
        <v>8</v>
      </c>
      <c r="Y20" s="15" t="s">
        <v>38</v>
      </c>
      <c r="Z20" s="16" t="s">
        <v>39</v>
      </c>
      <c r="AA20" s="17" t="n">
        <f aca="false">ROUND(K20*0.12 + I20*0.08 + J20*0.07 + L20*0.06 + M20*0.06 + N20*0.08 + O20*0.06 + R20*0.09 + S20*0.04 + V20*0.13 + W20*0.11 + X20*0.08 + (I20+J20)/2*0.02, 2)</f>
        <v>8.2</v>
      </c>
    </row>
    <row r="21" customFormat="false" ht="15" hidden="false" customHeight="true" outlineLevel="0" collapsed="false">
      <c r="A21" s="18" t="n">
        <v>18</v>
      </c>
      <c r="B21" s="19" t="s">
        <v>29</v>
      </c>
      <c r="C21" s="19" t="s">
        <v>30</v>
      </c>
      <c r="D21" s="19" t="s">
        <v>130</v>
      </c>
      <c r="E21" s="20" t="s">
        <v>131</v>
      </c>
      <c r="F21" s="21" t="s">
        <v>132</v>
      </c>
      <c r="G21" s="19" t="s">
        <v>133</v>
      </c>
      <c r="H21" s="12" t="s">
        <v>35</v>
      </c>
      <c r="I21" s="13" t="n">
        <v>9.5</v>
      </c>
      <c r="J21" s="13" t="n">
        <v>9.5</v>
      </c>
      <c r="K21" s="18" t="n">
        <v>9</v>
      </c>
      <c r="L21" s="18" t="n">
        <v>3</v>
      </c>
      <c r="M21" s="18" t="n">
        <v>3</v>
      </c>
      <c r="N21" s="18" t="n">
        <v>8</v>
      </c>
      <c r="O21" s="18" t="n">
        <v>9</v>
      </c>
      <c r="P21" s="18" t="n">
        <v>8</v>
      </c>
      <c r="Q21" s="22" t="n">
        <v>1100</v>
      </c>
      <c r="R21" s="18" t="n">
        <v>5</v>
      </c>
      <c r="S21" s="18" t="n">
        <v>5</v>
      </c>
      <c r="T21" s="19" t="s">
        <v>43</v>
      </c>
      <c r="U21" s="18" t="s">
        <v>119</v>
      </c>
      <c r="V21" s="18" t="n">
        <v>9.5</v>
      </c>
      <c r="W21" s="18" t="n">
        <v>7</v>
      </c>
      <c r="X21" s="18" t="n">
        <v>8</v>
      </c>
      <c r="Y21" s="28" t="s">
        <v>134</v>
      </c>
      <c r="Z21" s="24" t="s">
        <v>135</v>
      </c>
      <c r="AA21" s="25" t="n">
        <f aca="false">ROUND(K21*0.12 + I21*0.08 + J21*0.07 + L21*0.06 + M21*0.06 + N21*0.08 + O21*0.06 + R21*0.09 + S21*0.04 + V21*0.13 + W21*0.11 + X21*0.08 + (I21+J21)/2*0.02, 2)</f>
        <v>7.53</v>
      </c>
    </row>
    <row r="22" customFormat="false" ht="15" hidden="false" customHeight="true" outlineLevel="0" collapsed="false">
      <c r="A22" s="8" t="n">
        <v>19</v>
      </c>
      <c r="B22" s="9" t="s">
        <v>29</v>
      </c>
      <c r="C22" s="9" t="s">
        <v>30</v>
      </c>
      <c r="D22" s="9" t="s">
        <v>136</v>
      </c>
      <c r="E22" s="10" t="s">
        <v>136</v>
      </c>
      <c r="F22" s="11" t="s">
        <v>137</v>
      </c>
      <c r="G22" s="9" t="s">
        <v>138</v>
      </c>
      <c r="H22" s="12" t="s">
        <v>35</v>
      </c>
      <c r="I22" s="13" t="n">
        <v>9.5</v>
      </c>
      <c r="J22" s="13" t="n">
        <v>9.5</v>
      </c>
      <c r="K22" s="8" t="n">
        <v>9.2</v>
      </c>
      <c r="L22" s="8" t="n">
        <v>4</v>
      </c>
      <c r="M22" s="8" t="n">
        <v>3</v>
      </c>
      <c r="N22" s="8" t="n">
        <v>8</v>
      </c>
      <c r="O22" s="8" t="n">
        <v>9</v>
      </c>
      <c r="P22" s="8" t="n">
        <v>8</v>
      </c>
      <c r="Q22" s="14" t="n">
        <v>1300</v>
      </c>
      <c r="R22" s="8" t="n">
        <v>4</v>
      </c>
      <c r="S22" s="8" t="n">
        <v>5</v>
      </c>
      <c r="T22" s="9" t="s">
        <v>139</v>
      </c>
      <c r="U22" s="8" t="s">
        <v>140</v>
      </c>
      <c r="V22" s="8" t="n">
        <v>10</v>
      </c>
      <c r="W22" s="8" t="n">
        <v>7</v>
      </c>
      <c r="X22" s="8" t="n">
        <v>7.5</v>
      </c>
      <c r="Y22" s="27" t="s">
        <v>67</v>
      </c>
      <c r="Z22" s="16" t="s">
        <v>141</v>
      </c>
      <c r="AA22" s="17" t="n">
        <f aca="false">ROUND(K22*0.12 + I22*0.08 + J22*0.07 + L22*0.06 + M22*0.06 + N22*0.08 + O22*0.06 + R22*0.09 + S22*0.04 + V22*0.13 + W22*0.11 + X22*0.08 + (I22+J22)/2*0.02, 2)</f>
        <v>7.55</v>
      </c>
    </row>
    <row r="23" customFormat="false" ht="15" hidden="false" customHeight="true" outlineLevel="0" collapsed="false">
      <c r="A23" s="18" t="n">
        <v>20</v>
      </c>
      <c r="B23" s="19" t="s">
        <v>29</v>
      </c>
      <c r="C23" s="19" t="s">
        <v>30</v>
      </c>
      <c r="D23" s="19" t="s">
        <v>142</v>
      </c>
      <c r="E23" s="20" t="s">
        <v>143</v>
      </c>
      <c r="F23" s="21" t="s">
        <v>144</v>
      </c>
      <c r="G23" s="19" t="s">
        <v>145</v>
      </c>
      <c r="H23" s="12" t="s">
        <v>35</v>
      </c>
      <c r="I23" s="13" t="n">
        <v>9.5</v>
      </c>
      <c r="J23" s="13" t="n">
        <v>9.5</v>
      </c>
      <c r="K23" s="18" t="n">
        <v>8.5</v>
      </c>
      <c r="L23" s="18" t="n">
        <v>7</v>
      </c>
      <c r="M23" s="18" t="n">
        <v>7</v>
      </c>
      <c r="N23" s="18" t="n">
        <v>8</v>
      </c>
      <c r="O23" s="18" t="n">
        <v>8</v>
      </c>
      <c r="P23" s="18" t="n">
        <v>4</v>
      </c>
      <c r="Q23" s="22" t="n">
        <v>1000</v>
      </c>
      <c r="R23" s="18" t="n">
        <v>6</v>
      </c>
      <c r="S23" s="18" t="n">
        <v>7</v>
      </c>
      <c r="T23" s="19" t="s">
        <v>146</v>
      </c>
      <c r="U23" s="18" t="s">
        <v>147</v>
      </c>
      <c r="V23" s="18" t="n">
        <v>8</v>
      </c>
      <c r="W23" s="18" t="n">
        <v>8</v>
      </c>
      <c r="X23" s="18" t="n">
        <v>8</v>
      </c>
      <c r="Y23" s="23" t="s">
        <v>56</v>
      </c>
      <c r="Z23" s="24" t="s">
        <v>57</v>
      </c>
      <c r="AA23" s="25" t="n">
        <f aca="false">ROUND(K23*0.12 + I23*0.08 + J23*0.07 + L23*0.06 + M23*0.06 + N23*0.08 + O23*0.06 + R23*0.09 + S23*0.04 + V23*0.13 + W23*0.11 + X23*0.08 + (I23+J23)/2*0.02, 2)</f>
        <v>7.98</v>
      </c>
    </row>
    <row r="24" customFormat="false" ht="15" hidden="false" customHeight="true" outlineLevel="0" collapsed="false">
      <c r="A24" s="8" t="n">
        <v>21</v>
      </c>
      <c r="B24" s="9" t="s">
        <v>29</v>
      </c>
      <c r="C24" s="9" t="s">
        <v>148</v>
      </c>
      <c r="D24" s="9" t="s">
        <v>149</v>
      </c>
      <c r="E24" s="10" t="s">
        <v>150</v>
      </c>
      <c r="F24" s="11" t="s">
        <v>151</v>
      </c>
      <c r="G24" s="9" t="s">
        <v>34</v>
      </c>
      <c r="H24" s="12" t="s">
        <v>35</v>
      </c>
      <c r="I24" s="13" t="n">
        <v>9</v>
      </c>
      <c r="J24" s="30" t="n">
        <v>8.5</v>
      </c>
      <c r="K24" s="8" t="n">
        <v>8.8</v>
      </c>
      <c r="L24" s="8" t="n">
        <v>7</v>
      </c>
      <c r="M24" s="8" t="n">
        <v>7</v>
      </c>
      <c r="N24" s="8" t="n">
        <v>9</v>
      </c>
      <c r="O24" s="8" t="n">
        <v>9</v>
      </c>
      <c r="P24" s="8" t="n">
        <v>3</v>
      </c>
      <c r="Q24" s="14" t="n">
        <v>800</v>
      </c>
      <c r="R24" s="8" t="n">
        <v>9</v>
      </c>
      <c r="S24" s="8" t="n">
        <v>8</v>
      </c>
      <c r="T24" s="9" t="s">
        <v>43</v>
      </c>
      <c r="U24" s="8" t="s">
        <v>152</v>
      </c>
      <c r="V24" s="8" t="n">
        <v>9</v>
      </c>
      <c r="W24" s="8" t="n">
        <v>9.5</v>
      </c>
      <c r="X24" s="8" t="n">
        <v>8</v>
      </c>
      <c r="Y24" s="15" t="s">
        <v>38</v>
      </c>
      <c r="Z24" s="16" t="s">
        <v>39</v>
      </c>
      <c r="AA24" s="17" t="n">
        <f aca="false">ROUND(K24*0.12 + I24*0.08 + J24*0.07 + L24*0.06 + M24*0.06 + N24*0.08 + O24*0.06 + R24*0.09 + S24*0.04 + V24*0.13 + W24*0.11 + X24*0.08 + (I24+J24)/2*0.02, 2)</f>
        <v>8.63</v>
      </c>
    </row>
    <row r="25" customFormat="false" ht="15" hidden="false" customHeight="true" outlineLevel="0" collapsed="false">
      <c r="A25" s="18" t="n">
        <v>22</v>
      </c>
      <c r="B25" s="19" t="s">
        <v>29</v>
      </c>
      <c r="C25" s="19" t="s">
        <v>148</v>
      </c>
      <c r="D25" s="19" t="s">
        <v>149</v>
      </c>
      <c r="E25" s="20" t="s">
        <v>153</v>
      </c>
      <c r="F25" s="21" t="s">
        <v>154</v>
      </c>
      <c r="G25" s="19" t="s">
        <v>155</v>
      </c>
      <c r="H25" s="12" t="s">
        <v>35</v>
      </c>
      <c r="I25" s="13" t="n">
        <v>9</v>
      </c>
      <c r="J25" s="30" t="n">
        <v>8.5</v>
      </c>
      <c r="K25" s="18" t="n">
        <v>8.5</v>
      </c>
      <c r="L25" s="18" t="n">
        <v>6</v>
      </c>
      <c r="M25" s="18" t="n">
        <v>6</v>
      </c>
      <c r="N25" s="18" t="n">
        <v>9</v>
      </c>
      <c r="O25" s="18" t="n">
        <v>9</v>
      </c>
      <c r="P25" s="18" t="n">
        <v>2</v>
      </c>
      <c r="Q25" s="22" t="n">
        <v>800</v>
      </c>
      <c r="R25" s="18" t="n">
        <v>10</v>
      </c>
      <c r="S25" s="18" t="n">
        <v>8</v>
      </c>
      <c r="T25" s="19" t="s">
        <v>43</v>
      </c>
      <c r="U25" s="18" t="s">
        <v>152</v>
      </c>
      <c r="V25" s="18" t="n">
        <v>8</v>
      </c>
      <c r="W25" s="18" t="n">
        <v>9</v>
      </c>
      <c r="X25" s="18" t="n">
        <v>8.5</v>
      </c>
      <c r="Y25" s="23" t="s">
        <v>45</v>
      </c>
      <c r="Z25" s="24" t="s">
        <v>46</v>
      </c>
      <c r="AA25" s="25" t="n">
        <f aca="false">ROUND(K25*0.12 + I25*0.08 + J25*0.07 + L25*0.06 + M25*0.06 + N25*0.08 + O25*0.06 + R25*0.09 + S25*0.04 + V25*0.13 + W25*0.11 + X25*0.08 + (I25+J25)/2*0.02, 2)</f>
        <v>8.42</v>
      </c>
    </row>
    <row r="26" customFormat="false" ht="15" hidden="false" customHeight="true" outlineLevel="0" collapsed="false">
      <c r="A26" s="8" t="n">
        <v>23</v>
      </c>
      <c r="B26" s="9" t="s">
        <v>29</v>
      </c>
      <c r="C26" s="9" t="s">
        <v>148</v>
      </c>
      <c r="D26" s="9" t="s">
        <v>156</v>
      </c>
      <c r="E26" s="10" t="s">
        <v>157</v>
      </c>
      <c r="F26" s="11" t="s">
        <v>158</v>
      </c>
      <c r="G26" s="9" t="s">
        <v>64</v>
      </c>
      <c r="H26" s="12" t="s">
        <v>35</v>
      </c>
      <c r="I26" s="13" t="n">
        <v>9</v>
      </c>
      <c r="J26" s="30" t="n">
        <v>8.5</v>
      </c>
      <c r="K26" s="8" t="n">
        <v>8.8</v>
      </c>
      <c r="L26" s="8" t="n">
        <v>5</v>
      </c>
      <c r="M26" s="8" t="n">
        <v>3</v>
      </c>
      <c r="N26" s="8" t="n">
        <v>8</v>
      </c>
      <c r="O26" s="8" t="n">
        <v>8</v>
      </c>
      <c r="P26" s="8" t="n">
        <v>7</v>
      </c>
      <c r="Q26" s="14" t="n">
        <v>700</v>
      </c>
      <c r="R26" s="8" t="n">
        <v>7</v>
      </c>
      <c r="S26" s="8" t="n">
        <v>7</v>
      </c>
      <c r="T26" s="9" t="s">
        <v>43</v>
      </c>
      <c r="U26" s="8" t="s">
        <v>119</v>
      </c>
      <c r="V26" s="8" t="n">
        <v>8.5</v>
      </c>
      <c r="W26" s="8" t="n">
        <v>8</v>
      </c>
      <c r="X26" s="8" t="n">
        <v>8.5</v>
      </c>
      <c r="Y26" s="29" t="s">
        <v>96</v>
      </c>
      <c r="Z26" s="16" t="s">
        <v>159</v>
      </c>
      <c r="AA26" s="17" t="n">
        <f aca="false">ROUND(K26*0.12 + I26*0.08 + J26*0.07 + L26*0.06 + M26*0.06 + N26*0.08 + O26*0.06 + R26*0.09 + S26*0.04 + V26*0.13 + W26*0.11 + X26*0.08 + (I26+J26)/2*0.02, 2)</f>
        <v>7.72</v>
      </c>
    </row>
    <row r="27" customFormat="false" ht="15" hidden="false" customHeight="true" outlineLevel="0" collapsed="false">
      <c r="A27" s="18" t="n">
        <v>24</v>
      </c>
      <c r="B27" s="19" t="s">
        <v>29</v>
      </c>
      <c r="C27" s="19" t="s">
        <v>148</v>
      </c>
      <c r="D27" s="19" t="s">
        <v>156</v>
      </c>
      <c r="E27" s="20" t="s">
        <v>160</v>
      </c>
      <c r="F27" s="21" t="s">
        <v>161</v>
      </c>
      <c r="G27" s="19" t="s">
        <v>162</v>
      </c>
      <c r="H27" s="12" t="s">
        <v>35</v>
      </c>
      <c r="I27" s="13" t="n">
        <v>9</v>
      </c>
      <c r="J27" s="30" t="n">
        <v>8.5</v>
      </c>
      <c r="K27" s="18" t="n">
        <v>9</v>
      </c>
      <c r="L27" s="18" t="n">
        <v>7</v>
      </c>
      <c r="M27" s="18" t="n">
        <v>5</v>
      </c>
      <c r="N27" s="18" t="n">
        <v>9</v>
      </c>
      <c r="O27" s="18" t="n">
        <v>8</v>
      </c>
      <c r="P27" s="18" t="n">
        <v>3</v>
      </c>
      <c r="Q27" s="22" t="n">
        <v>700</v>
      </c>
      <c r="R27" s="18" t="n">
        <v>7</v>
      </c>
      <c r="S27" s="18" t="n">
        <v>7</v>
      </c>
      <c r="T27" s="19" t="s">
        <v>114</v>
      </c>
      <c r="U27" s="18" t="s">
        <v>163</v>
      </c>
      <c r="V27" s="18" t="n">
        <v>8.5</v>
      </c>
      <c r="W27" s="18" t="n">
        <v>8</v>
      </c>
      <c r="X27" s="18" t="n">
        <v>8.5</v>
      </c>
      <c r="Y27" s="26" t="s">
        <v>50</v>
      </c>
      <c r="Z27" s="24" t="s">
        <v>51</v>
      </c>
      <c r="AA27" s="25" t="n">
        <f aca="false">ROUND(K27*0.12 + I27*0.08 + J27*0.07 + L27*0.06 + M27*0.06 + N27*0.08 + O27*0.06 + R27*0.09 + S27*0.04 + V27*0.13 + W27*0.11 + X27*0.08 + (I27+J27)/2*0.02, 2)</f>
        <v>8.07</v>
      </c>
    </row>
    <row r="28" customFormat="false" ht="15" hidden="false" customHeight="true" outlineLevel="0" collapsed="false">
      <c r="A28" s="8" t="n">
        <v>25</v>
      </c>
      <c r="B28" s="9" t="s">
        <v>29</v>
      </c>
      <c r="C28" s="9" t="s">
        <v>148</v>
      </c>
      <c r="D28" s="9" t="s">
        <v>164</v>
      </c>
      <c r="E28" s="10" t="s">
        <v>165</v>
      </c>
      <c r="F28" s="11" t="s">
        <v>166</v>
      </c>
      <c r="G28" s="9" t="s">
        <v>167</v>
      </c>
      <c r="H28" s="12" t="s">
        <v>35</v>
      </c>
      <c r="I28" s="13" t="n">
        <v>9</v>
      </c>
      <c r="J28" s="30" t="n">
        <v>8.5</v>
      </c>
      <c r="K28" s="8" t="n">
        <v>8.8</v>
      </c>
      <c r="L28" s="8" t="n">
        <v>6</v>
      </c>
      <c r="M28" s="8" t="n">
        <v>6</v>
      </c>
      <c r="N28" s="8" t="n">
        <v>8</v>
      </c>
      <c r="O28" s="8" t="n">
        <v>8</v>
      </c>
      <c r="P28" s="8" t="n">
        <v>5</v>
      </c>
      <c r="Q28" s="14" t="n">
        <v>600</v>
      </c>
      <c r="R28" s="8" t="n">
        <v>7</v>
      </c>
      <c r="S28" s="8" t="n">
        <v>7</v>
      </c>
      <c r="T28" s="9" t="s">
        <v>43</v>
      </c>
      <c r="U28" s="8" t="s">
        <v>152</v>
      </c>
      <c r="V28" s="8" t="n">
        <v>9.5</v>
      </c>
      <c r="W28" s="8" t="n">
        <v>8</v>
      </c>
      <c r="X28" s="8" t="n">
        <v>8.5</v>
      </c>
      <c r="Y28" s="26" t="s">
        <v>50</v>
      </c>
      <c r="Z28" s="16" t="s">
        <v>168</v>
      </c>
      <c r="AA28" s="17" t="n">
        <f aca="false">ROUND(K28*0.12 + I28*0.08 + J28*0.07 + L28*0.06 + M28*0.06 + N28*0.08 + O28*0.06 + R28*0.09 + S28*0.04 + V28*0.13 + W28*0.11 + X28*0.08 + (I28+J28)/2*0.02, 2)</f>
        <v>8.09</v>
      </c>
    </row>
    <row r="29" customFormat="false" ht="15" hidden="false" customHeight="true" outlineLevel="0" collapsed="false">
      <c r="A29" s="18" t="n">
        <v>26</v>
      </c>
      <c r="B29" s="19" t="s">
        <v>29</v>
      </c>
      <c r="C29" s="19" t="s">
        <v>148</v>
      </c>
      <c r="D29" s="19" t="s">
        <v>169</v>
      </c>
      <c r="E29" s="20" t="s">
        <v>170</v>
      </c>
      <c r="F29" s="21" t="s">
        <v>171</v>
      </c>
      <c r="G29" s="19" t="s">
        <v>172</v>
      </c>
      <c r="H29" s="12" t="s">
        <v>35</v>
      </c>
      <c r="I29" s="13" t="n">
        <v>9</v>
      </c>
      <c r="J29" s="30" t="n">
        <v>8.5</v>
      </c>
      <c r="K29" s="18" t="n">
        <v>8.5</v>
      </c>
      <c r="L29" s="18" t="n">
        <v>7</v>
      </c>
      <c r="M29" s="18" t="n">
        <v>6</v>
      </c>
      <c r="N29" s="18" t="n">
        <v>9</v>
      </c>
      <c r="O29" s="18" t="n">
        <v>8</v>
      </c>
      <c r="P29" s="18" t="n">
        <v>4</v>
      </c>
      <c r="Q29" s="22" t="n">
        <v>700</v>
      </c>
      <c r="R29" s="18" t="n">
        <v>8</v>
      </c>
      <c r="S29" s="18" t="n">
        <v>7</v>
      </c>
      <c r="T29" s="19" t="s">
        <v>94</v>
      </c>
      <c r="U29" s="18" t="s">
        <v>95</v>
      </c>
      <c r="V29" s="18" t="n">
        <v>7.5</v>
      </c>
      <c r="W29" s="18" t="n">
        <v>8.5</v>
      </c>
      <c r="X29" s="18" t="n">
        <v>8.5</v>
      </c>
      <c r="Y29" s="23" t="s">
        <v>56</v>
      </c>
      <c r="Z29" s="24" t="s">
        <v>57</v>
      </c>
      <c r="AA29" s="25" t="n">
        <f aca="false">ROUND(K29*0.12 + I29*0.08 + J29*0.07 + L29*0.06 + M29*0.06 + N29*0.08 + O29*0.06 + R29*0.09 + S29*0.04 + V29*0.13 + W29*0.11 + X29*0.08 + (I29+J29)/2*0.02, 2)</f>
        <v>8.08</v>
      </c>
    </row>
    <row r="30" customFormat="false" ht="15" hidden="false" customHeight="true" outlineLevel="0" collapsed="false">
      <c r="A30" s="8" t="n">
        <v>27</v>
      </c>
      <c r="B30" s="9" t="s">
        <v>29</v>
      </c>
      <c r="C30" s="9" t="s">
        <v>148</v>
      </c>
      <c r="D30" s="9" t="s">
        <v>173</v>
      </c>
      <c r="E30" s="10" t="s">
        <v>174</v>
      </c>
      <c r="F30" s="11" t="s">
        <v>175</v>
      </c>
      <c r="G30" s="9" t="s">
        <v>55</v>
      </c>
      <c r="H30" s="12" t="s">
        <v>35</v>
      </c>
      <c r="I30" s="13" t="n">
        <v>9</v>
      </c>
      <c r="J30" s="30" t="n">
        <v>8.5</v>
      </c>
      <c r="K30" s="8" t="n">
        <v>8.5</v>
      </c>
      <c r="L30" s="8" t="n">
        <v>7</v>
      </c>
      <c r="M30" s="8" t="n">
        <v>7</v>
      </c>
      <c r="N30" s="8" t="n">
        <v>8</v>
      </c>
      <c r="O30" s="8" t="n">
        <v>8</v>
      </c>
      <c r="P30" s="8" t="n">
        <v>3</v>
      </c>
      <c r="Q30" s="14" t="n">
        <v>500</v>
      </c>
      <c r="R30" s="8" t="n">
        <v>7</v>
      </c>
      <c r="S30" s="8" t="n">
        <v>8</v>
      </c>
      <c r="T30" s="9" t="s">
        <v>43</v>
      </c>
      <c r="U30" s="8" t="s">
        <v>152</v>
      </c>
      <c r="V30" s="8" t="n">
        <v>8</v>
      </c>
      <c r="W30" s="8" t="n">
        <v>8</v>
      </c>
      <c r="X30" s="8" t="n">
        <v>9</v>
      </c>
      <c r="Y30" s="15" t="s">
        <v>38</v>
      </c>
      <c r="Z30" s="16" t="s">
        <v>39</v>
      </c>
      <c r="AA30" s="17" t="n">
        <f aca="false">ROUND(K30*0.12 + I30*0.08 + J30*0.07 + L30*0.06 + M30*0.06 + N30*0.08 + O30*0.06 + R30*0.09 + S30*0.04 + V30*0.13 + W30*0.11 + X30*0.08 + (I30+J30)/2*0.02, 2)</f>
        <v>8.06</v>
      </c>
    </row>
    <row r="31" customFormat="false" ht="15" hidden="false" customHeight="true" outlineLevel="0" collapsed="false">
      <c r="A31" s="18" t="n">
        <v>28</v>
      </c>
      <c r="B31" s="19" t="s">
        <v>29</v>
      </c>
      <c r="C31" s="19" t="s">
        <v>148</v>
      </c>
      <c r="D31" s="19" t="s">
        <v>176</v>
      </c>
      <c r="E31" s="20" t="s">
        <v>177</v>
      </c>
      <c r="F31" s="21" t="s">
        <v>178</v>
      </c>
      <c r="G31" s="19" t="s">
        <v>64</v>
      </c>
      <c r="H31" s="12" t="s">
        <v>35</v>
      </c>
      <c r="I31" s="13" t="n">
        <v>9</v>
      </c>
      <c r="J31" s="30" t="n">
        <v>8.5</v>
      </c>
      <c r="K31" s="18" t="n">
        <v>8.8</v>
      </c>
      <c r="L31" s="18" t="n">
        <v>5</v>
      </c>
      <c r="M31" s="18" t="n">
        <v>4</v>
      </c>
      <c r="N31" s="18" t="n">
        <v>8</v>
      </c>
      <c r="O31" s="18" t="n">
        <v>8</v>
      </c>
      <c r="P31" s="18" t="n">
        <v>6</v>
      </c>
      <c r="Q31" s="22" t="n">
        <v>600</v>
      </c>
      <c r="R31" s="18" t="n">
        <v>6</v>
      </c>
      <c r="S31" s="18" t="n">
        <v>5</v>
      </c>
      <c r="T31" s="19" t="s">
        <v>122</v>
      </c>
      <c r="U31" s="18" t="s">
        <v>179</v>
      </c>
      <c r="V31" s="18" t="n">
        <v>8.5</v>
      </c>
      <c r="W31" s="18" t="n">
        <v>7.5</v>
      </c>
      <c r="X31" s="18" t="n">
        <v>8</v>
      </c>
      <c r="Y31" s="29" t="s">
        <v>96</v>
      </c>
      <c r="Z31" s="24" t="s">
        <v>180</v>
      </c>
      <c r="AA31" s="25" t="n">
        <f aca="false">ROUND(K31*0.12 + I31*0.08 + J31*0.07 + L31*0.06 + M31*0.06 + N31*0.08 + O31*0.06 + R31*0.09 + S31*0.04 + V31*0.13 + W31*0.11 + X31*0.08 + (I31+J31)/2*0.02, 2)</f>
        <v>7.52</v>
      </c>
    </row>
    <row r="32" customFormat="false" ht="15" hidden="false" customHeight="true" outlineLevel="0" collapsed="false">
      <c r="A32" s="8" t="n">
        <v>29</v>
      </c>
      <c r="B32" s="9" t="s">
        <v>29</v>
      </c>
      <c r="C32" s="9" t="s">
        <v>148</v>
      </c>
      <c r="D32" s="9" t="s">
        <v>181</v>
      </c>
      <c r="E32" s="10" t="s">
        <v>182</v>
      </c>
      <c r="F32" s="11" t="s">
        <v>183</v>
      </c>
      <c r="G32" s="9" t="s">
        <v>107</v>
      </c>
      <c r="H32" s="12" t="s">
        <v>35</v>
      </c>
      <c r="I32" s="13" t="n">
        <v>9</v>
      </c>
      <c r="J32" s="30" t="n">
        <v>8.5</v>
      </c>
      <c r="K32" s="8" t="n">
        <v>8.3</v>
      </c>
      <c r="L32" s="8" t="n">
        <v>5</v>
      </c>
      <c r="M32" s="8" t="n">
        <v>6</v>
      </c>
      <c r="N32" s="8" t="n">
        <v>7</v>
      </c>
      <c r="O32" s="8" t="n">
        <v>7</v>
      </c>
      <c r="P32" s="8" t="n">
        <v>3</v>
      </c>
      <c r="Q32" s="14" t="n">
        <v>500</v>
      </c>
      <c r="R32" s="8" t="n">
        <v>5</v>
      </c>
      <c r="S32" s="8" t="n">
        <v>7</v>
      </c>
      <c r="T32" s="9" t="s">
        <v>43</v>
      </c>
      <c r="U32" s="8" t="s">
        <v>184</v>
      </c>
      <c r="V32" s="8" t="n">
        <v>9</v>
      </c>
      <c r="W32" s="8" t="n">
        <v>7</v>
      </c>
      <c r="X32" s="8" t="n">
        <v>8.5</v>
      </c>
      <c r="Y32" s="23" t="s">
        <v>45</v>
      </c>
      <c r="Z32" s="16" t="s">
        <v>46</v>
      </c>
      <c r="AA32" s="17" t="n">
        <f aca="false">ROUND(K32*0.12 + I32*0.08 + J32*0.07 + L32*0.06 + M32*0.06 + N32*0.08 + O32*0.06 + R32*0.09 + S32*0.04 + V32*0.13 + W32*0.11 + X32*0.08 + (I32+J32)/2*0.02, 2)</f>
        <v>7.48</v>
      </c>
    </row>
    <row r="33" customFormat="false" ht="15" hidden="false" customHeight="true" outlineLevel="0" collapsed="false">
      <c r="A33" s="18" t="n">
        <v>30</v>
      </c>
      <c r="B33" s="19" t="s">
        <v>29</v>
      </c>
      <c r="C33" s="19" t="s">
        <v>148</v>
      </c>
      <c r="D33" s="19" t="s">
        <v>149</v>
      </c>
      <c r="E33" s="20" t="s">
        <v>185</v>
      </c>
      <c r="F33" s="21" t="s">
        <v>186</v>
      </c>
      <c r="G33" s="19" t="s">
        <v>187</v>
      </c>
      <c r="H33" s="12" t="s">
        <v>35</v>
      </c>
      <c r="I33" s="13" t="n">
        <v>9</v>
      </c>
      <c r="J33" s="30" t="n">
        <v>8.5</v>
      </c>
      <c r="K33" s="18" t="n">
        <v>8.3</v>
      </c>
      <c r="L33" s="18" t="n">
        <v>7</v>
      </c>
      <c r="M33" s="18" t="n">
        <v>7</v>
      </c>
      <c r="N33" s="18" t="n">
        <v>9</v>
      </c>
      <c r="O33" s="18" t="n">
        <v>8</v>
      </c>
      <c r="P33" s="18" t="n">
        <v>3</v>
      </c>
      <c r="Q33" s="22" t="n">
        <v>900</v>
      </c>
      <c r="R33" s="18" t="n">
        <v>10</v>
      </c>
      <c r="S33" s="18" t="n">
        <v>9</v>
      </c>
      <c r="T33" s="19" t="s">
        <v>36</v>
      </c>
      <c r="U33" s="18" t="s">
        <v>188</v>
      </c>
      <c r="V33" s="18" t="n">
        <v>7</v>
      </c>
      <c r="W33" s="18" t="n">
        <v>9.5</v>
      </c>
      <c r="X33" s="18" t="n">
        <v>8</v>
      </c>
      <c r="Y33" s="15" t="s">
        <v>38</v>
      </c>
      <c r="Z33" s="24" t="s">
        <v>39</v>
      </c>
      <c r="AA33" s="25" t="n">
        <f aca="false">ROUND(K33*0.12 + I33*0.08 + J33*0.07 + L33*0.06 + M33*0.06 + N33*0.08 + O33*0.06 + R33*0.09 + S33*0.04 + V33*0.13 + W33*0.11 + X33*0.08 + (I33+J33)/2*0.02, 2)</f>
        <v>8.38</v>
      </c>
    </row>
    <row r="34" customFormat="false" ht="15" hidden="false" customHeight="true" outlineLevel="0" collapsed="false">
      <c r="A34" s="8" t="n">
        <v>31</v>
      </c>
      <c r="B34" s="9" t="s">
        <v>29</v>
      </c>
      <c r="C34" s="9" t="s">
        <v>148</v>
      </c>
      <c r="D34" s="9" t="s">
        <v>189</v>
      </c>
      <c r="E34" s="10" t="s">
        <v>190</v>
      </c>
      <c r="F34" s="11" t="s">
        <v>191</v>
      </c>
      <c r="G34" s="9" t="s">
        <v>192</v>
      </c>
      <c r="H34" s="12" t="s">
        <v>35</v>
      </c>
      <c r="I34" s="13" t="n">
        <v>9</v>
      </c>
      <c r="J34" s="30" t="n">
        <v>8.5</v>
      </c>
      <c r="K34" s="8" t="n">
        <v>8</v>
      </c>
      <c r="L34" s="8" t="n">
        <v>6</v>
      </c>
      <c r="M34" s="8" t="n">
        <v>5</v>
      </c>
      <c r="N34" s="8" t="n">
        <v>7</v>
      </c>
      <c r="O34" s="8" t="n">
        <v>7</v>
      </c>
      <c r="P34" s="8" t="n">
        <v>4</v>
      </c>
      <c r="Q34" s="14" t="n">
        <v>600</v>
      </c>
      <c r="R34" s="8" t="n">
        <v>7</v>
      </c>
      <c r="S34" s="8" t="n">
        <v>7</v>
      </c>
      <c r="T34" s="9" t="s">
        <v>43</v>
      </c>
      <c r="U34" s="8" t="s">
        <v>184</v>
      </c>
      <c r="V34" s="8" t="n">
        <v>7.5</v>
      </c>
      <c r="W34" s="8" t="n">
        <v>7</v>
      </c>
      <c r="X34" s="8" t="n">
        <v>8</v>
      </c>
      <c r="Y34" s="26" t="s">
        <v>50</v>
      </c>
      <c r="Z34" s="16" t="s">
        <v>51</v>
      </c>
      <c r="AA34" s="17" t="n">
        <f aca="false">ROUND(K34*0.12 + I34*0.08 + J34*0.07 + L34*0.06 + M34*0.06 + N34*0.08 + O34*0.06 + R34*0.09 + S34*0.04 + V34*0.13 + W34*0.11 + X34*0.08 + (I34+J34)/2*0.02, 2)</f>
        <v>7.39</v>
      </c>
    </row>
    <row r="35" customFormat="false" ht="15" hidden="false" customHeight="true" outlineLevel="0" collapsed="false">
      <c r="A35" s="18" t="n">
        <v>32</v>
      </c>
      <c r="B35" s="19" t="s">
        <v>29</v>
      </c>
      <c r="C35" s="19" t="s">
        <v>148</v>
      </c>
      <c r="D35" s="19" t="s">
        <v>193</v>
      </c>
      <c r="E35" s="20" t="s">
        <v>194</v>
      </c>
      <c r="F35" s="21" t="s">
        <v>195</v>
      </c>
      <c r="G35" s="19" t="s">
        <v>196</v>
      </c>
      <c r="H35" s="12" t="s">
        <v>35</v>
      </c>
      <c r="I35" s="13" t="n">
        <v>9</v>
      </c>
      <c r="J35" s="30" t="n">
        <v>8.5</v>
      </c>
      <c r="K35" s="18" t="n">
        <v>8</v>
      </c>
      <c r="L35" s="18" t="n">
        <v>7</v>
      </c>
      <c r="M35" s="18" t="n">
        <v>6</v>
      </c>
      <c r="N35" s="18" t="n">
        <v>8</v>
      </c>
      <c r="O35" s="18" t="n">
        <v>6</v>
      </c>
      <c r="P35" s="18" t="n">
        <v>4</v>
      </c>
      <c r="Q35" s="22" t="n">
        <v>600</v>
      </c>
      <c r="R35" s="18" t="n">
        <v>6</v>
      </c>
      <c r="S35" s="18" t="n">
        <v>7</v>
      </c>
      <c r="T35" s="19" t="s">
        <v>65</v>
      </c>
      <c r="U35" s="18" t="s">
        <v>76</v>
      </c>
      <c r="V35" s="18" t="n">
        <v>7</v>
      </c>
      <c r="W35" s="18" t="n">
        <v>8</v>
      </c>
      <c r="X35" s="18" t="n">
        <v>8</v>
      </c>
      <c r="Y35" s="23" t="s">
        <v>56</v>
      </c>
      <c r="Z35" s="24" t="s">
        <v>57</v>
      </c>
      <c r="AA35" s="25" t="n">
        <f aca="false">ROUND(K35*0.12 + I35*0.08 + J35*0.07 + L35*0.06 + M35*0.06 + N35*0.08 + O35*0.06 + R35*0.09 + S35*0.04 + V35*0.13 + W35*0.11 + X35*0.08 + (I35+J35)/2*0.02, 2)</f>
        <v>7.48</v>
      </c>
    </row>
    <row r="36" customFormat="false" ht="15" hidden="false" customHeight="true" outlineLevel="0" collapsed="false">
      <c r="A36" s="8" t="n">
        <v>33</v>
      </c>
      <c r="B36" s="9" t="s">
        <v>197</v>
      </c>
      <c r="C36" s="9" t="s">
        <v>198</v>
      </c>
      <c r="D36" s="9" t="s">
        <v>199</v>
      </c>
      <c r="E36" s="10" t="s">
        <v>200</v>
      </c>
      <c r="F36" s="11" t="s">
        <v>201</v>
      </c>
      <c r="G36" s="9" t="s">
        <v>34</v>
      </c>
      <c r="H36" s="12" t="s">
        <v>202</v>
      </c>
      <c r="I36" s="30" t="n">
        <v>7.5</v>
      </c>
      <c r="J36" s="30" t="n">
        <v>7.5</v>
      </c>
      <c r="K36" s="8" t="n">
        <v>9</v>
      </c>
      <c r="L36" s="8" t="n">
        <v>6</v>
      </c>
      <c r="M36" s="8" t="n">
        <v>5</v>
      </c>
      <c r="N36" s="8" t="n">
        <v>8</v>
      </c>
      <c r="O36" s="8" t="n">
        <v>8</v>
      </c>
      <c r="P36" s="8" t="n">
        <v>3</v>
      </c>
      <c r="Q36" s="14" t="n">
        <v>500</v>
      </c>
      <c r="R36" s="8" t="n">
        <v>9</v>
      </c>
      <c r="S36" s="8" t="n">
        <v>8</v>
      </c>
      <c r="T36" s="9" t="s">
        <v>108</v>
      </c>
      <c r="U36" s="8" t="s">
        <v>203</v>
      </c>
      <c r="V36" s="8" t="n">
        <v>9.5</v>
      </c>
      <c r="W36" s="8" t="n">
        <v>8.5</v>
      </c>
      <c r="X36" s="8" t="n">
        <v>8</v>
      </c>
      <c r="Y36" s="26" t="s">
        <v>50</v>
      </c>
      <c r="Z36" s="16" t="s">
        <v>51</v>
      </c>
      <c r="AA36" s="17" t="n">
        <f aca="false">ROUND(K36*0.12 + I36*0.08 + J36*0.07 + L36*0.06 + M36*0.06 + N36*0.08 + O36*0.06 + R36*0.09 + S36*0.04 + V36*0.13 + W36*0.11 + X36*0.08 + (I36+J36)/2*0.02, 2)</f>
        <v>8.08</v>
      </c>
    </row>
    <row r="37" customFormat="false" ht="15" hidden="false" customHeight="true" outlineLevel="0" collapsed="false">
      <c r="A37" s="18" t="n">
        <v>34</v>
      </c>
      <c r="B37" s="19" t="s">
        <v>197</v>
      </c>
      <c r="C37" s="19" t="s">
        <v>198</v>
      </c>
      <c r="D37" s="19" t="s">
        <v>204</v>
      </c>
      <c r="E37" s="20" t="s">
        <v>205</v>
      </c>
      <c r="F37" s="21" t="s">
        <v>206</v>
      </c>
      <c r="G37" s="19" t="s">
        <v>49</v>
      </c>
      <c r="H37" s="12" t="s">
        <v>202</v>
      </c>
      <c r="I37" s="30" t="n">
        <v>7.5</v>
      </c>
      <c r="J37" s="30" t="n">
        <v>7.5</v>
      </c>
      <c r="K37" s="18" t="n">
        <v>8.8</v>
      </c>
      <c r="L37" s="18" t="n">
        <v>6</v>
      </c>
      <c r="M37" s="18" t="n">
        <v>5</v>
      </c>
      <c r="N37" s="18" t="n">
        <v>9</v>
      </c>
      <c r="O37" s="18" t="n">
        <v>9</v>
      </c>
      <c r="P37" s="18" t="n">
        <v>3</v>
      </c>
      <c r="Q37" s="22" t="n">
        <v>400</v>
      </c>
      <c r="R37" s="18" t="n">
        <v>8</v>
      </c>
      <c r="S37" s="18" t="n">
        <v>7</v>
      </c>
      <c r="T37" s="19" t="s">
        <v>207</v>
      </c>
      <c r="U37" s="18" t="s">
        <v>208</v>
      </c>
      <c r="V37" s="18" t="n">
        <v>8.5</v>
      </c>
      <c r="W37" s="18" t="n">
        <v>8</v>
      </c>
      <c r="X37" s="18" t="n">
        <v>9</v>
      </c>
      <c r="Y37" s="26" t="s">
        <v>50</v>
      </c>
      <c r="Z37" s="24" t="s">
        <v>51</v>
      </c>
      <c r="AA37" s="25" t="n">
        <f aca="false">ROUND(K37*0.12 + I37*0.08 + J37*0.07 + L37*0.06 + M37*0.06 + N37*0.08 + O37*0.06 + R37*0.09 + S37*0.04 + V37*0.13 + W37*0.11 + X37*0.08 + (I37+J37)/2*0.02, 2)</f>
        <v>7.96</v>
      </c>
    </row>
    <row r="38" customFormat="false" ht="15" hidden="false" customHeight="true" outlineLevel="0" collapsed="false">
      <c r="A38" s="8" t="n">
        <v>35</v>
      </c>
      <c r="B38" s="9" t="s">
        <v>197</v>
      </c>
      <c r="C38" s="9" t="s">
        <v>198</v>
      </c>
      <c r="D38" s="9" t="s">
        <v>204</v>
      </c>
      <c r="E38" s="10" t="s">
        <v>209</v>
      </c>
      <c r="F38" s="11" t="s">
        <v>210</v>
      </c>
      <c r="G38" s="9" t="s">
        <v>34</v>
      </c>
      <c r="H38" s="12" t="s">
        <v>202</v>
      </c>
      <c r="I38" s="30" t="n">
        <v>7.5</v>
      </c>
      <c r="J38" s="30" t="n">
        <v>7.5</v>
      </c>
      <c r="K38" s="8" t="n">
        <v>9</v>
      </c>
      <c r="L38" s="8" t="n">
        <v>7</v>
      </c>
      <c r="M38" s="8" t="n">
        <v>7</v>
      </c>
      <c r="N38" s="8" t="n">
        <v>9</v>
      </c>
      <c r="O38" s="8" t="n">
        <v>9</v>
      </c>
      <c r="P38" s="8" t="n">
        <v>5</v>
      </c>
      <c r="Q38" s="14" t="n">
        <v>400</v>
      </c>
      <c r="R38" s="8" t="n">
        <v>8</v>
      </c>
      <c r="S38" s="8" t="n">
        <v>8</v>
      </c>
      <c r="T38" s="9" t="s">
        <v>207</v>
      </c>
      <c r="U38" s="8" t="s">
        <v>208</v>
      </c>
      <c r="V38" s="8" t="n">
        <v>8.5</v>
      </c>
      <c r="W38" s="8" t="n">
        <v>8</v>
      </c>
      <c r="X38" s="8" t="n">
        <v>9.5</v>
      </c>
      <c r="Y38" s="15" t="s">
        <v>38</v>
      </c>
      <c r="Z38" s="16" t="s">
        <v>211</v>
      </c>
      <c r="AA38" s="17" t="n">
        <f aca="false">ROUND(K38*0.12 + I38*0.08 + J38*0.07 + L38*0.06 + M38*0.06 + N38*0.08 + O38*0.06 + R38*0.09 + S38*0.04 + V38*0.13 + W38*0.11 + X38*0.08 + (I38+J38)/2*0.02, 2)</f>
        <v>8.24</v>
      </c>
    </row>
    <row r="39" customFormat="false" ht="15" hidden="false" customHeight="true" outlineLevel="0" collapsed="false">
      <c r="A39" s="18" t="n">
        <v>36</v>
      </c>
      <c r="B39" s="19" t="s">
        <v>197</v>
      </c>
      <c r="C39" s="19" t="s">
        <v>198</v>
      </c>
      <c r="D39" s="19" t="s">
        <v>212</v>
      </c>
      <c r="E39" s="20" t="s">
        <v>212</v>
      </c>
      <c r="F39" s="21" t="s">
        <v>213</v>
      </c>
      <c r="G39" s="19" t="s">
        <v>214</v>
      </c>
      <c r="H39" s="12" t="s">
        <v>202</v>
      </c>
      <c r="I39" s="30" t="n">
        <v>7.5</v>
      </c>
      <c r="J39" s="30" t="n">
        <v>7.5</v>
      </c>
      <c r="K39" s="18" t="n">
        <v>8.8</v>
      </c>
      <c r="L39" s="18" t="n">
        <v>8</v>
      </c>
      <c r="M39" s="18" t="n">
        <v>5</v>
      </c>
      <c r="N39" s="18" t="n">
        <v>9</v>
      </c>
      <c r="O39" s="18" t="n">
        <v>7</v>
      </c>
      <c r="P39" s="18" t="n">
        <v>6</v>
      </c>
      <c r="Q39" s="22" t="n">
        <v>700</v>
      </c>
      <c r="R39" s="18" t="n">
        <v>8</v>
      </c>
      <c r="S39" s="18" t="n">
        <v>7</v>
      </c>
      <c r="T39" s="19" t="s">
        <v>108</v>
      </c>
      <c r="U39" s="18" t="s">
        <v>215</v>
      </c>
      <c r="V39" s="18" t="n">
        <v>7.5</v>
      </c>
      <c r="W39" s="18" t="n">
        <v>8.5</v>
      </c>
      <c r="X39" s="18" t="n">
        <v>7.5</v>
      </c>
      <c r="Y39" s="29" t="s">
        <v>96</v>
      </c>
      <c r="Z39" s="24" t="s">
        <v>124</v>
      </c>
      <c r="AA39" s="25" t="n">
        <f aca="false">ROUND(K39*0.12 + I39*0.08 + J39*0.07 + L39*0.06 + M39*0.06 + N39*0.08 + O39*0.06 + R39*0.09 + S39*0.04 + V39*0.13 + W39*0.11 + X39*0.08 + (I39+J39)/2*0.02, 2)</f>
        <v>7.76</v>
      </c>
    </row>
    <row r="40" customFormat="false" ht="15" hidden="false" customHeight="true" outlineLevel="0" collapsed="false">
      <c r="A40" s="8" t="n">
        <v>37</v>
      </c>
      <c r="B40" s="9" t="s">
        <v>197</v>
      </c>
      <c r="C40" s="9" t="s">
        <v>198</v>
      </c>
      <c r="D40" s="9" t="s">
        <v>216</v>
      </c>
      <c r="E40" s="10" t="s">
        <v>217</v>
      </c>
      <c r="F40" s="11" t="s">
        <v>218</v>
      </c>
      <c r="G40" s="9" t="s">
        <v>219</v>
      </c>
      <c r="H40" s="12" t="s">
        <v>202</v>
      </c>
      <c r="I40" s="30" t="n">
        <v>7.5</v>
      </c>
      <c r="J40" s="30" t="n">
        <v>7.5</v>
      </c>
      <c r="K40" s="8" t="n">
        <v>9</v>
      </c>
      <c r="L40" s="8" t="n">
        <v>6</v>
      </c>
      <c r="M40" s="8" t="n">
        <v>4</v>
      </c>
      <c r="N40" s="8" t="n">
        <v>9</v>
      </c>
      <c r="O40" s="8" t="n">
        <v>8</v>
      </c>
      <c r="P40" s="8" t="n">
        <v>5</v>
      </c>
      <c r="Q40" s="14" t="n">
        <v>500</v>
      </c>
      <c r="R40" s="8" t="n">
        <v>7</v>
      </c>
      <c r="S40" s="8" t="n">
        <v>6</v>
      </c>
      <c r="T40" s="9" t="s">
        <v>108</v>
      </c>
      <c r="U40" s="8" t="s">
        <v>215</v>
      </c>
      <c r="V40" s="8" t="n">
        <v>8.5</v>
      </c>
      <c r="W40" s="8" t="n">
        <v>7.5</v>
      </c>
      <c r="X40" s="8" t="n">
        <v>8.5</v>
      </c>
      <c r="Y40" s="29" t="s">
        <v>96</v>
      </c>
      <c r="Z40" s="16" t="s">
        <v>220</v>
      </c>
      <c r="AA40" s="17" t="n">
        <f aca="false">ROUND(K40*0.12 + I40*0.08 + J40*0.07 + L40*0.06 + M40*0.06 + N40*0.08 + O40*0.06 + R40*0.09 + S40*0.04 + V40*0.13 + W40*0.11 + X40*0.08 + (I40+J40)/2*0.02, 2)</f>
        <v>7.64</v>
      </c>
    </row>
    <row r="41" customFormat="false" ht="15" hidden="false" customHeight="true" outlineLevel="0" collapsed="false">
      <c r="A41" s="18" t="n">
        <v>38</v>
      </c>
      <c r="B41" s="19" t="s">
        <v>197</v>
      </c>
      <c r="C41" s="19" t="s">
        <v>198</v>
      </c>
      <c r="D41" s="19" t="s">
        <v>221</v>
      </c>
      <c r="E41" s="20" t="s">
        <v>222</v>
      </c>
      <c r="F41" s="21" t="s">
        <v>223</v>
      </c>
      <c r="G41" s="19" t="s">
        <v>224</v>
      </c>
      <c r="H41" s="12" t="s">
        <v>202</v>
      </c>
      <c r="I41" s="30" t="n">
        <v>7.5</v>
      </c>
      <c r="J41" s="30" t="n">
        <v>7.5</v>
      </c>
      <c r="K41" s="18" t="n">
        <v>9</v>
      </c>
      <c r="L41" s="18" t="n">
        <v>6</v>
      </c>
      <c r="M41" s="18" t="n">
        <v>5</v>
      </c>
      <c r="N41" s="18" t="n">
        <v>8</v>
      </c>
      <c r="O41" s="18" t="n">
        <v>8</v>
      </c>
      <c r="P41" s="18" t="n">
        <v>3</v>
      </c>
      <c r="Q41" s="22" t="n">
        <v>350</v>
      </c>
      <c r="R41" s="18" t="n">
        <v>6</v>
      </c>
      <c r="S41" s="18" t="n">
        <v>7</v>
      </c>
      <c r="T41" s="19" t="s">
        <v>207</v>
      </c>
      <c r="U41" s="18" t="s">
        <v>208</v>
      </c>
      <c r="V41" s="18" t="n">
        <v>9</v>
      </c>
      <c r="W41" s="18" t="n">
        <v>7.5</v>
      </c>
      <c r="X41" s="18" t="n">
        <v>9</v>
      </c>
      <c r="Y41" s="26" t="s">
        <v>50</v>
      </c>
      <c r="Z41" s="24" t="s">
        <v>51</v>
      </c>
      <c r="AA41" s="25" t="n">
        <f aca="false">ROUND(K41*0.12 + I41*0.08 + J41*0.07 + L41*0.06 + M41*0.06 + N41*0.08 + O41*0.06 + R41*0.09 + S41*0.04 + V41*0.13 + W41*0.11 + X41*0.08 + (I41+J41)/2*0.02, 2)</f>
        <v>7.67</v>
      </c>
    </row>
    <row r="42" customFormat="false" ht="15" hidden="false" customHeight="true" outlineLevel="0" collapsed="false">
      <c r="A42" s="8" t="n">
        <v>39</v>
      </c>
      <c r="B42" s="9" t="s">
        <v>197</v>
      </c>
      <c r="C42" s="9" t="s">
        <v>198</v>
      </c>
      <c r="D42" s="9" t="s">
        <v>225</v>
      </c>
      <c r="E42" s="10" t="s">
        <v>226</v>
      </c>
      <c r="F42" s="11" t="s">
        <v>227</v>
      </c>
      <c r="G42" s="9" t="s">
        <v>167</v>
      </c>
      <c r="H42" s="12" t="s">
        <v>202</v>
      </c>
      <c r="I42" s="30" t="n">
        <v>7.5</v>
      </c>
      <c r="J42" s="30" t="n">
        <v>7.5</v>
      </c>
      <c r="K42" s="8" t="n">
        <v>8.8</v>
      </c>
      <c r="L42" s="8" t="n">
        <v>5</v>
      </c>
      <c r="M42" s="8" t="n">
        <v>5</v>
      </c>
      <c r="N42" s="8" t="n">
        <v>8</v>
      </c>
      <c r="O42" s="8" t="n">
        <v>8</v>
      </c>
      <c r="P42" s="8" t="n">
        <v>4</v>
      </c>
      <c r="Q42" s="14" t="n">
        <v>350</v>
      </c>
      <c r="R42" s="8" t="n">
        <v>7</v>
      </c>
      <c r="S42" s="8" t="n">
        <v>8</v>
      </c>
      <c r="T42" s="9" t="s">
        <v>207</v>
      </c>
      <c r="U42" s="8" t="s">
        <v>208</v>
      </c>
      <c r="V42" s="8" t="n">
        <v>9.5</v>
      </c>
      <c r="W42" s="8" t="n">
        <v>7</v>
      </c>
      <c r="X42" s="8" t="n">
        <v>9</v>
      </c>
      <c r="Y42" s="26" t="s">
        <v>50</v>
      </c>
      <c r="Z42" s="16" t="s">
        <v>51</v>
      </c>
      <c r="AA42" s="17" t="n">
        <f aca="false">ROUND(K42*0.12 + I42*0.08 + J42*0.07 + L42*0.06 + M42*0.06 + N42*0.08 + O42*0.06 + R42*0.09 + S42*0.04 + V42*0.13 + W42*0.11 + X42*0.08 + (I42+J42)/2*0.02, 2)</f>
        <v>7.73</v>
      </c>
    </row>
    <row r="43" customFormat="false" ht="15" hidden="false" customHeight="true" outlineLevel="0" collapsed="false">
      <c r="A43" s="18" t="n">
        <v>40</v>
      </c>
      <c r="B43" s="19" t="s">
        <v>197</v>
      </c>
      <c r="C43" s="19" t="s">
        <v>198</v>
      </c>
      <c r="D43" s="19" t="s">
        <v>228</v>
      </c>
      <c r="E43" s="20" t="s">
        <v>228</v>
      </c>
      <c r="F43" s="21" t="s">
        <v>229</v>
      </c>
      <c r="G43" s="19" t="s">
        <v>214</v>
      </c>
      <c r="H43" s="12" t="s">
        <v>202</v>
      </c>
      <c r="I43" s="30" t="n">
        <v>7.5</v>
      </c>
      <c r="J43" s="30" t="n">
        <v>7.5</v>
      </c>
      <c r="K43" s="18" t="n">
        <v>8.5</v>
      </c>
      <c r="L43" s="18" t="n">
        <v>7</v>
      </c>
      <c r="M43" s="18" t="n">
        <v>5</v>
      </c>
      <c r="N43" s="18" t="n">
        <v>9</v>
      </c>
      <c r="O43" s="18" t="n">
        <v>7</v>
      </c>
      <c r="P43" s="18" t="n">
        <v>5</v>
      </c>
      <c r="Q43" s="22" t="n">
        <v>700</v>
      </c>
      <c r="R43" s="18" t="n">
        <v>6</v>
      </c>
      <c r="S43" s="18" t="n">
        <v>6</v>
      </c>
      <c r="T43" s="19" t="s">
        <v>230</v>
      </c>
      <c r="U43" s="18" t="s">
        <v>231</v>
      </c>
      <c r="V43" s="18" t="n">
        <v>7.5</v>
      </c>
      <c r="W43" s="18" t="n">
        <v>8</v>
      </c>
      <c r="X43" s="18" t="n">
        <v>7.5</v>
      </c>
      <c r="Y43" s="29" t="s">
        <v>96</v>
      </c>
      <c r="Z43" s="24" t="s">
        <v>124</v>
      </c>
      <c r="AA43" s="25" t="n">
        <f aca="false">ROUND(K43*0.12 + I43*0.08 + J43*0.07 + L43*0.06 + M43*0.06 + N43*0.08 + O43*0.06 + R43*0.09 + S43*0.04 + V43*0.13 + W43*0.11 + X43*0.08 + (I43+J43)/2*0.02, 2)</f>
        <v>7.39</v>
      </c>
    </row>
    <row r="44" customFormat="false" ht="15" hidden="false" customHeight="true" outlineLevel="0" collapsed="false">
      <c r="A44" s="8" t="n">
        <v>41</v>
      </c>
      <c r="B44" s="9" t="s">
        <v>197</v>
      </c>
      <c r="C44" s="9" t="s">
        <v>198</v>
      </c>
      <c r="D44" s="9" t="s">
        <v>232</v>
      </c>
      <c r="E44" s="10" t="s">
        <v>232</v>
      </c>
      <c r="F44" s="11" t="s">
        <v>233</v>
      </c>
      <c r="G44" s="9" t="s">
        <v>234</v>
      </c>
      <c r="H44" s="12" t="s">
        <v>202</v>
      </c>
      <c r="I44" s="30" t="n">
        <v>7.5</v>
      </c>
      <c r="J44" s="30" t="n">
        <v>7.5</v>
      </c>
      <c r="K44" s="8" t="n">
        <v>8</v>
      </c>
      <c r="L44" s="8" t="n">
        <v>7</v>
      </c>
      <c r="M44" s="8" t="n">
        <v>5</v>
      </c>
      <c r="N44" s="8" t="n">
        <v>8</v>
      </c>
      <c r="O44" s="8" t="n">
        <v>7</v>
      </c>
      <c r="P44" s="8" t="n">
        <v>4</v>
      </c>
      <c r="Q44" s="14" t="n">
        <v>500</v>
      </c>
      <c r="R44" s="8" t="n">
        <v>8</v>
      </c>
      <c r="S44" s="8" t="n">
        <v>7</v>
      </c>
      <c r="T44" s="9" t="s">
        <v>108</v>
      </c>
      <c r="U44" s="8" t="s">
        <v>203</v>
      </c>
      <c r="V44" s="8" t="n">
        <v>6.5</v>
      </c>
      <c r="W44" s="8" t="n">
        <v>8</v>
      </c>
      <c r="X44" s="8" t="n">
        <v>7.5</v>
      </c>
      <c r="Y44" s="26" t="s">
        <v>50</v>
      </c>
      <c r="Z44" s="16" t="s">
        <v>51</v>
      </c>
      <c r="AA44" s="17" t="n">
        <f aca="false">ROUND(K44*0.12 + I44*0.08 + J44*0.07 + L44*0.06 + M44*0.06 + N44*0.08 + O44*0.06 + R44*0.09 + S44*0.04 + V44*0.13 + W44*0.11 + X44*0.08 + (I44+J44)/2*0.02, 2)</f>
        <v>7.34</v>
      </c>
    </row>
    <row r="45" customFormat="false" ht="15" hidden="false" customHeight="true" outlineLevel="0" collapsed="false">
      <c r="A45" s="18" t="n">
        <v>42</v>
      </c>
      <c r="B45" s="19" t="s">
        <v>197</v>
      </c>
      <c r="C45" s="19" t="s">
        <v>198</v>
      </c>
      <c r="D45" s="19" t="s">
        <v>235</v>
      </c>
      <c r="E45" s="20" t="s">
        <v>235</v>
      </c>
      <c r="F45" s="21" t="s">
        <v>236</v>
      </c>
      <c r="G45" s="19" t="s">
        <v>237</v>
      </c>
      <c r="H45" s="12" t="s">
        <v>202</v>
      </c>
      <c r="I45" s="30" t="n">
        <v>7.5</v>
      </c>
      <c r="J45" s="30" t="n">
        <v>7.5</v>
      </c>
      <c r="K45" s="18" t="n">
        <v>8.3</v>
      </c>
      <c r="L45" s="18" t="n">
        <v>7</v>
      </c>
      <c r="M45" s="18" t="n">
        <v>7</v>
      </c>
      <c r="N45" s="18" t="n">
        <v>9</v>
      </c>
      <c r="O45" s="18" t="n">
        <v>7</v>
      </c>
      <c r="P45" s="18" t="n">
        <v>4</v>
      </c>
      <c r="Q45" s="22" t="n">
        <v>500</v>
      </c>
      <c r="R45" s="18" t="n">
        <v>7</v>
      </c>
      <c r="S45" s="18" t="n">
        <v>7</v>
      </c>
      <c r="T45" s="19" t="s">
        <v>108</v>
      </c>
      <c r="U45" s="18" t="s">
        <v>203</v>
      </c>
      <c r="V45" s="18" t="n">
        <v>7</v>
      </c>
      <c r="W45" s="18" t="n">
        <v>8</v>
      </c>
      <c r="X45" s="18" t="n">
        <v>8</v>
      </c>
      <c r="Y45" s="23" t="s">
        <v>56</v>
      </c>
      <c r="Z45" s="24" t="s">
        <v>57</v>
      </c>
      <c r="AA45" s="25" t="n">
        <f aca="false">ROUND(K45*0.12 + I45*0.08 + J45*0.07 + L45*0.06 + M45*0.06 + N45*0.08 + O45*0.06 + R45*0.09 + S45*0.04 + V45*0.13 + W45*0.11 + X45*0.08 + (I45+J45)/2*0.02, 2)</f>
        <v>7.59</v>
      </c>
    </row>
    <row r="46" customFormat="false" ht="15" hidden="false" customHeight="true" outlineLevel="0" collapsed="false">
      <c r="A46" s="8" t="n">
        <v>43</v>
      </c>
      <c r="B46" s="9" t="s">
        <v>197</v>
      </c>
      <c r="C46" s="9" t="s">
        <v>198</v>
      </c>
      <c r="D46" s="9" t="s">
        <v>238</v>
      </c>
      <c r="E46" s="10" t="s">
        <v>239</v>
      </c>
      <c r="F46" s="11" t="s">
        <v>240</v>
      </c>
      <c r="G46" s="9" t="s">
        <v>167</v>
      </c>
      <c r="H46" s="12" t="s">
        <v>202</v>
      </c>
      <c r="I46" s="30" t="n">
        <v>7.5</v>
      </c>
      <c r="J46" s="30" t="n">
        <v>7.5</v>
      </c>
      <c r="K46" s="8" t="n">
        <v>8.5</v>
      </c>
      <c r="L46" s="8" t="n">
        <v>5</v>
      </c>
      <c r="M46" s="8" t="n">
        <v>5</v>
      </c>
      <c r="N46" s="8" t="n">
        <v>8</v>
      </c>
      <c r="O46" s="8" t="n">
        <v>8</v>
      </c>
      <c r="P46" s="8" t="n">
        <v>4</v>
      </c>
      <c r="Q46" s="14" t="n">
        <v>300</v>
      </c>
      <c r="R46" s="8" t="n">
        <v>5</v>
      </c>
      <c r="S46" s="8" t="n">
        <v>7</v>
      </c>
      <c r="T46" s="9" t="s">
        <v>207</v>
      </c>
      <c r="U46" s="8" t="s">
        <v>208</v>
      </c>
      <c r="V46" s="8" t="n">
        <v>9.5</v>
      </c>
      <c r="W46" s="8" t="n">
        <v>7</v>
      </c>
      <c r="X46" s="8" t="n">
        <v>9.5</v>
      </c>
      <c r="Y46" s="26" t="s">
        <v>50</v>
      </c>
      <c r="Z46" s="16" t="s">
        <v>51</v>
      </c>
      <c r="AA46" s="17" t="n">
        <f aca="false">ROUND(K46*0.12 + I46*0.08 + J46*0.07 + L46*0.06 + M46*0.06 + N46*0.08 + O46*0.06 + R46*0.09 + S46*0.04 + V46*0.13 + W46*0.11 + X46*0.08 + (I46+J46)/2*0.02, 2)</f>
        <v>7.51</v>
      </c>
    </row>
    <row r="47" customFormat="false" ht="15" hidden="false" customHeight="true" outlineLevel="0" collapsed="false">
      <c r="A47" s="18" t="n">
        <v>44</v>
      </c>
      <c r="B47" s="19" t="s">
        <v>197</v>
      </c>
      <c r="C47" s="19" t="s">
        <v>198</v>
      </c>
      <c r="D47" s="19" t="s">
        <v>241</v>
      </c>
      <c r="E47" s="20" t="s">
        <v>241</v>
      </c>
      <c r="F47" s="21" t="s">
        <v>242</v>
      </c>
      <c r="G47" s="19" t="s">
        <v>243</v>
      </c>
      <c r="H47" s="12" t="s">
        <v>202</v>
      </c>
      <c r="I47" s="30" t="n">
        <v>7.5</v>
      </c>
      <c r="J47" s="30" t="n">
        <v>7.5</v>
      </c>
      <c r="K47" s="18" t="n">
        <v>8.5</v>
      </c>
      <c r="L47" s="18" t="n">
        <v>5</v>
      </c>
      <c r="M47" s="18" t="n">
        <v>4</v>
      </c>
      <c r="N47" s="18" t="n">
        <v>9</v>
      </c>
      <c r="O47" s="18" t="n">
        <v>9</v>
      </c>
      <c r="P47" s="18" t="n">
        <v>4</v>
      </c>
      <c r="Q47" s="22" t="n">
        <v>300</v>
      </c>
      <c r="R47" s="18" t="n">
        <v>5</v>
      </c>
      <c r="S47" s="18" t="n">
        <v>6</v>
      </c>
      <c r="T47" s="19" t="s">
        <v>207</v>
      </c>
      <c r="U47" s="18" t="s">
        <v>208</v>
      </c>
      <c r="V47" s="18" t="n">
        <v>7.5</v>
      </c>
      <c r="W47" s="18" t="n">
        <v>6.5</v>
      </c>
      <c r="X47" s="18" t="n">
        <v>9</v>
      </c>
      <c r="Y47" s="29" t="s">
        <v>96</v>
      </c>
      <c r="Z47" s="24" t="s">
        <v>220</v>
      </c>
      <c r="AA47" s="25" t="n">
        <f aca="false">ROUND(K47*0.12 + I47*0.08 + J47*0.07 + L47*0.06 + M47*0.06 + N47*0.08 + O47*0.06 + R47*0.09 + S47*0.04 + V47*0.13 + W47*0.11 + X47*0.08 + (I47+J47)/2*0.02, 2)</f>
        <v>7.2</v>
      </c>
    </row>
    <row r="48" customFormat="false" ht="15" hidden="false" customHeight="true" outlineLevel="0" collapsed="false">
      <c r="A48" s="8" t="n">
        <v>45</v>
      </c>
      <c r="B48" s="9" t="s">
        <v>197</v>
      </c>
      <c r="C48" s="9" t="s">
        <v>244</v>
      </c>
      <c r="D48" s="9" t="s">
        <v>244</v>
      </c>
      <c r="E48" s="10" t="s">
        <v>245</v>
      </c>
      <c r="F48" s="11" t="s">
        <v>246</v>
      </c>
      <c r="G48" s="9" t="s">
        <v>247</v>
      </c>
      <c r="H48" s="12" t="s">
        <v>202</v>
      </c>
      <c r="I48" s="13" t="n">
        <v>9.8</v>
      </c>
      <c r="J48" s="13" t="n">
        <v>9.5</v>
      </c>
      <c r="K48" s="8" t="n">
        <v>9.3</v>
      </c>
      <c r="L48" s="8" t="n">
        <v>9</v>
      </c>
      <c r="M48" s="8" t="n">
        <v>7</v>
      </c>
      <c r="N48" s="8" t="n">
        <v>9</v>
      </c>
      <c r="O48" s="8" t="n">
        <v>8</v>
      </c>
      <c r="P48" s="8" t="n">
        <v>4</v>
      </c>
      <c r="Q48" s="14" t="n">
        <v>1000</v>
      </c>
      <c r="R48" s="8" t="n">
        <v>10</v>
      </c>
      <c r="S48" s="8" t="n">
        <v>9</v>
      </c>
      <c r="T48" s="9" t="s">
        <v>36</v>
      </c>
      <c r="U48" s="9" t="s">
        <v>248</v>
      </c>
      <c r="V48" s="8" t="n">
        <v>8.5</v>
      </c>
      <c r="W48" s="8" t="n">
        <v>10</v>
      </c>
      <c r="X48" s="8" t="n">
        <v>7.5</v>
      </c>
      <c r="Y48" s="28" t="s">
        <v>249</v>
      </c>
      <c r="Z48" s="16" t="s">
        <v>250</v>
      </c>
      <c r="AA48" s="17" t="n">
        <f aca="false">ROUND(K48*0.12 + I48*0.08 + J48*0.07 + L48*0.06 + M48*0.06 + N48*0.08 + O48*0.06 + R48*0.09 + S48*0.04 + V48*0.13 + W48*0.11 + X48*0.08 + (I48+J48)/2*0.02, 2)</f>
        <v>8.98</v>
      </c>
    </row>
    <row r="49" customFormat="false" ht="15" hidden="false" customHeight="true" outlineLevel="0" collapsed="false">
      <c r="A49" s="18" t="n">
        <v>46</v>
      </c>
      <c r="B49" s="19" t="s">
        <v>197</v>
      </c>
      <c r="C49" s="19" t="s">
        <v>244</v>
      </c>
      <c r="D49" s="19" t="s">
        <v>244</v>
      </c>
      <c r="E49" s="20" t="s">
        <v>251</v>
      </c>
      <c r="F49" s="21" t="s">
        <v>252</v>
      </c>
      <c r="G49" s="19" t="s">
        <v>253</v>
      </c>
      <c r="H49" s="12" t="s">
        <v>202</v>
      </c>
      <c r="I49" s="13" t="n">
        <v>9.8</v>
      </c>
      <c r="J49" s="13" t="n">
        <v>9.5</v>
      </c>
      <c r="K49" s="18" t="n">
        <v>9</v>
      </c>
      <c r="L49" s="18" t="n">
        <v>10</v>
      </c>
      <c r="M49" s="18" t="n">
        <v>5</v>
      </c>
      <c r="N49" s="18" t="n">
        <v>8</v>
      </c>
      <c r="O49" s="18" t="n">
        <v>6</v>
      </c>
      <c r="P49" s="18" t="n">
        <v>5</v>
      </c>
      <c r="Q49" s="22" t="n">
        <v>1200</v>
      </c>
      <c r="R49" s="18" t="n">
        <v>10</v>
      </c>
      <c r="S49" s="18" t="n">
        <v>9</v>
      </c>
      <c r="T49" s="19" t="s">
        <v>36</v>
      </c>
      <c r="U49" s="19" t="s">
        <v>248</v>
      </c>
      <c r="V49" s="18" t="n">
        <v>7.5</v>
      </c>
      <c r="W49" s="18" t="n">
        <v>10</v>
      </c>
      <c r="X49" s="18" t="n">
        <v>6.5</v>
      </c>
      <c r="Y49" s="23" t="s">
        <v>254</v>
      </c>
      <c r="Z49" s="24" t="s">
        <v>255</v>
      </c>
      <c r="AA49" s="25" t="n">
        <f aca="false">ROUND(K49*0.12 + I49*0.08 + J49*0.07 + L49*0.06 + M49*0.06 + N49*0.08 + O49*0.06 + R49*0.09 + S49*0.04 + V49*0.13 + W49*0.11 + X49*0.08 + (I49+J49)/2*0.02, 2)</f>
        <v>8.48</v>
      </c>
    </row>
    <row r="50" customFormat="false" ht="15" hidden="false" customHeight="true" outlineLevel="0" collapsed="false">
      <c r="A50" s="8" t="n">
        <v>47</v>
      </c>
      <c r="B50" s="9" t="s">
        <v>197</v>
      </c>
      <c r="C50" s="9" t="s">
        <v>244</v>
      </c>
      <c r="D50" s="9" t="s">
        <v>244</v>
      </c>
      <c r="E50" s="10" t="s">
        <v>256</v>
      </c>
      <c r="F50" s="11" t="s">
        <v>257</v>
      </c>
      <c r="G50" s="9" t="s">
        <v>187</v>
      </c>
      <c r="H50" s="12" t="s">
        <v>202</v>
      </c>
      <c r="I50" s="13" t="n">
        <v>9.8</v>
      </c>
      <c r="J50" s="13" t="n">
        <v>9.5</v>
      </c>
      <c r="K50" s="8" t="n">
        <v>9</v>
      </c>
      <c r="L50" s="8" t="n">
        <v>7</v>
      </c>
      <c r="M50" s="8" t="n">
        <v>7</v>
      </c>
      <c r="N50" s="8" t="n">
        <v>9</v>
      </c>
      <c r="O50" s="8" t="n">
        <v>9</v>
      </c>
      <c r="P50" s="8" t="n">
        <v>3</v>
      </c>
      <c r="Q50" s="14" t="n">
        <v>1100</v>
      </c>
      <c r="R50" s="8" t="n">
        <v>10</v>
      </c>
      <c r="S50" s="8" t="n">
        <v>9</v>
      </c>
      <c r="T50" s="9" t="s">
        <v>36</v>
      </c>
      <c r="U50" s="9" t="s">
        <v>248</v>
      </c>
      <c r="V50" s="8" t="n">
        <v>8</v>
      </c>
      <c r="W50" s="8" t="n">
        <v>10</v>
      </c>
      <c r="X50" s="8" t="n">
        <v>7</v>
      </c>
      <c r="Y50" s="15" t="s">
        <v>38</v>
      </c>
      <c r="Z50" s="16" t="s">
        <v>258</v>
      </c>
      <c r="AA50" s="17" t="n">
        <f aca="false">ROUND(K50*0.12 + I50*0.08 + J50*0.07 + L50*0.06 + M50*0.06 + N50*0.08 + O50*0.06 + R50*0.09 + S50*0.04 + V50*0.13 + W50*0.11 + X50*0.08 + (I50+J50)/2*0.02, 2)</f>
        <v>8.78</v>
      </c>
    </row>
    <row r="51" customFormat="false" ht="15" hidden="false" customHeight="true" outlineLevel="0" collapsed="false">
      <c r="A51" s="18" t="n">
        <v>48</v>
      </c>
      <c r="B51" s="19" t="s">
        <v>197</v>
      </c>
      <c r="C51" s="19" t="s">
        <v>244</v>
      </c>
      <c r="D51" s="19" t="s">
        <v>244</v>
      </c>
      <c r="E51" s="20" t="s">
        <v>259</v>
      </c>
      <c r="F51" s="21" t="s">
        <v>260</v>
      </c>
      <c r="G51" s="19" t="s">
        <v>261</v>
      </c>
      <c r="H51" s="12" t="s">
        <v>202</v>
      </c>
      <c r="I51" s="13" t="n">
        <v>9.8</v>
      </c>
      <c r="J51" s="13" t="n">
        <v>9.5</v>
      </c>
      <c r="K51" s="18" t="n">
        <v>9</v>
      </c>
      <c r="L51" s="18" t="n">
        <v>9</v>
      </c>
      <c r="M51" s="18" t="n">
        <v>5</v>
      </c>
      <c r="N51" s="18" t="n">
        <v>8</v>
      </c>
      <c r="O51" s="18" t="n">
        <v>6</v>
      </c>
      <c r="P51" s="18" t="n">
        <v>3</v>
      </c>
      <c r="Q51" s="22" t="n">
        <v>1000</v>
      </c>
      <c r="R51" s="18" t="n">
        <v>9</v>
      </c>
      <c r="S51" s="18" t="n">
        <v>9</v>
      </c>
      <c r="T51" s="19" t="s">
        <v>36</v>
      </c>
      <c r="U51" s="19" t="s">
        <v>248</v>
      </c>
      <c r="V51" s="18" t="n">
        <v>8</v>
      </c>
      <c r="W51" s="18" t="n">
        <v>9.5</v>
      </c>
      <c r="X51" s="18" t="n">
        <v>7.5</v>
      </c>
      <c r="Y51" s="28" t="s">
        <v>262</v>
      </c>
      <c r="Z51" s="24" t="s">
        <v>263</v>
      </c>
      <c r="AA51" s="25" t="n">
        <f aca="false">ROUND(K51*0.12 + I51*0.08 + J51*0.07 + L51*0.06 + M51*0.06 + N51*0.08 + O51*0.06 + R51*0.09 + S51*0.04 + V51*0.13 + W51*0.11 + X51*0.08 + (I51+J51)/2*0.02, 2)</f>
        <v>8.42</v>
      </c>
    </row>
    <row r="52" customFormat="false" ht="15" hidden="false" customHeight="true" outlineLevel="0" collapsed="false">
      <c r="A52" s="8" t="n">
        <v>49</v>
      </c>
      <c r="B52" s="9" t="s">
        <v>197</v>
      </c>
      <c r="C52" s="9" t="s">
        <v>244</v>
      </c>
      <c r="D52" s="9" t="s">
        <v>244</v>
      </c>
      <c r="E52" s="10" t="s">
        <v>264</v>
      </c>
      <c r="F52" s="11" t="s">
        <v>265</v>
      </c>
      <c r="G52" s="9" t="s">
        <v>266</v>
      </c>
      <c r="H52" s="12" t="s">
        <v>202</v>
      </c>
      <c r="I52" s="13" t="n">
        <v>9.8</v>
      </c>
      <c r="J52" s="13" t="n">
        <v>9.5</v>
      </c>
      <c r="K52" s="8" t="n">
        <v>8.5</v>
      </c>
      <c r="L52" s="8" t="n">
        <v>7</v>
      </c>
      <c r="M52" s="8" t="n">
        <v>7</v>
      </c>
      <c r="N52" s="8" t="n">
        <v>8</v>
      </c>
      <c r="O52" s="8" t="n">
        <v>9</v>
      </c>
      <c r="P52" s="8" t="n">
        <v>4</v>
      </c>
      <c r="Q52" s="14" t="n">
        <v>800</v>
      </c>
      <c r="R52" s="8" t="n">
        <v>10</v>
      </c>
      <c r="S52" s="8" t="n">
        <v>9</v>
      </c>
      <c r="T52" s="9" t="s">
        <v>36</v>
      </c>
      <c r="U52" s="9" t="s">
        <v>248</v>
      </c>
      <c r="V52" s="8" t="n">
        <v>8</v>
      </c>
      <c r="W52" s="8" t="n">
        <v>9.5</v>
      </c>
      <c r="X52" s="8" t="n">
        <v>8.5</v>
      </c>
      <c r="Y52" s="15" t="s">
        <v>38</v>
      </c>
      <c r="Z52" s="16" t="s">
        <v>267</v>
      </c>
      <c r="AA52" s="17" t="n">
        <f aca="false">ROUND(K52*0.12 + I52*0.08 + J52*0.07 + L52*0.06 + M52*0.06 + N52*0.08 + O52*0.06 + R52*0.09 + S52*0.04 + V52*0.13 + W52*0.11 + X52*0.08 + (I52+J52)/2*0.02, 2)</f>
        <v>8.71</v>
      </c>
    </row>
    <row r="53" customFormat="false" ht="15" hidden="false" customHeight="true" outlineLevel="0" collapsed="false">
      <c r="A53" s="18" t="n">
        <v>50</v>
      </c>
      <c r="B53" s="19" t="s">
        <v>197</v>
      </c>
      <c r="C53" s="19" t="s">
        <v>268</v>
      </c>
      <c r="D53" s="19" t="s">
        <v>269</v>
      </c>
      <c r="E53" s="20" t="s">
        <v>270</v>
      </c>
      <c r="F53" s="21" t="s">
        <v>271</v>
      </c>
      <c r="G53" s="19" t="s">
        <v>187</v>
      </c>
      <c r="H53" s="12" t="s">
        <v>202</v>
      </c>
      <c r="I53" s="30" t="n">
        <v>7.5</v>
      </c>
      <c r="J53" s="30" t="n">
        <v>8</v>
      </c>
      <c r="K53" s="18" t="n">
        <v>8.8</v>
      </c>
      <c r="L53" s="18" t="n">
        <v>7</v>
      </c>
      <c r="M53" s="18" t="n">
        <v>5</v>
      </c>
      <c r="N53" s="18" t="n">
        <v>8</v>
      </c>
      <c r="O53" s="18" t="n">
        <v>8</v>
      </c>
      <c r="P53" s="18" t="n">
        <v>4</v>
      </c>
      <c r="Q53" s="22" t="n">
        <v>500</v>
      </c>
      <c r="R53" s="18" t="n">
        <v>9</v>
      </c>
      <c r="S53" s="18" t="n">
        <v>8</v>
      </c>
      <c r="T53" s="19" t="s">
        <v>36</v>
      </c>
      <c r="U53" s="18" t="s">
        <v>272</v>
      </c>
      <c r="V53" s="18" t="n">
        <v>8</v>
      </c>
      <c r="W53" s="18" t="n">
        <v>9</v>
      </c>
      <c r="X53" s="18" t="n">
        <v>8.5</v>
      </c>
      <c r="Y53" s="26" t="s">
        <v>50</v>
      </c>
      <c r="Z53" s="24" t="s">
        <v>51</v>
      </c>
      <c r="AA53" s="25" t="n">
        <f aca="false">ROUND(K53*0.12 + I53*0.08 + J53*0.07 + L53*0.06 + M53*0.06 + N53*0.08 + O53*0.06 + R53*0.09 + S53*0.04 + V53*0.13 + W53*0.11 + X53*0.08 + (I53+J53)/2*0.02, 2)</f>
        <v>8.05</v>
      </c>
    </row>
    <row r="54" customFormat="false" ht="15" hidden="false" customHeight="true" outlineLevel="0" collapsed="false">
      <c r="A54" s="8" t="n">
        <v>51</v>
      </c>
      <c r="B54" s="9" t="s">
        <v>197</v>
      </c>
      <c r="C54" s="9" t="s">
        <v>268</v>
      </c>
      <c r="D54" s="9" t="s">
        <v>273</v>
      </c>
      <c r="E54" s="10" t="s">
        <v>274</v>
      </c>
      <c r="F54" s="11" t="s">
        <v>275</v>
      </c>
      <c r="G54" s="9" t="s">
        <v>34</v>
      </c>
      <c r="H54" s="12" t="s">
        <v>202</v>
      </c>
      <c r="I54" s="30" t="n">
        <v>7.5</v>
      </c>
      <c r="J54" s="30" t="n">
        <v>8</v>
      </c>
      <c r="K54" s="8" t="n">
        <v>9</v>
      </c>
      <c r="L54" s="8" t="n">
        <v>7</v>
      </c>
      <c r="M54" s="8" t="n">
        <v>6</v>
      </c>
      <c r="N54" s="8" t="n">
        <v>9</v>
      </c>
      <c r="O54" s="8" t="n">
        <v>9</v>
      </c>
      <c r="P54" s="8" t="n">
        <v>4</v>
      </c>
      <c r="Q54" s="14" t="n">
        <v>400</v>
      </c>
      <c r="R54" s="8" t="n">
        <v>7</v>
      </c>
      <c r="S54" s="8" t="n">
        <v>8</v>
      </c>
      <c r="T54" s="9" t="s">
        <v>276</v>
      </c>
      <c r="U54" s="8" t="s">
        <v>277</v>
      </c>
      <c r="V54" s="8" t="n">
        <v>9</v>
      </c>
      <c r="W54" s="8" t="n">
        <v>8</v>
      </c>
      <c r="X54" s="8" t="n">
        <v>9</v>
      </c>
      <c r="Y54" s="23" t="s">
        <v>56</v>
      </c>
      <c r="Z54" s="16" t="s">
        <v>57</v>
      </c>
      <c r="AA54" s="17" t="n">
        <f aca="false">ROUND(K54*0.12 + I54*0.08 + J54*0.07 + L54*0.06 + M54*0.06 + N54*0.08 + O54*0.06 + R54*0.09 + S54*0.04 + V54*0.13 + W54*0.11 + X54*0.08 + (I54+J54)/2*0.02, 2)</f>
        <v>8.16</v>
      </c>
    </row>
    <row r="55" customFormat="false" ht="15" hidden="false" customHeight="true" outlineLevel="0" collapsed="false">
      <c r="A55" s="18" t="n">
        <v>52</v>
      </c>
      <c r="B55" s="19" t="s">
        <v>197</v>
      </c>
      <c r="C55" s="19" t="s">
        <v>268</v>
      </c>
      <c r="D55" s="19" t="s">
        <v>278</v>
      </c>
      <c r="E55" s="20" t="s">
        <v>279</v>
      </c>
      <c r="F55" s="21" t="s">
        <v>280</v>
      </c>
      <c r="G55" s="19" t="s">
        <v>214</v>
      </c>
      <c r="H55" s="12" t="s">
        <v>202</v>
      </c>
      <c r="I55" s="30" t="n">
        <v>7.5</v>
      </c>
      <c r="J55" s="30" t="n">
        <v>8</v>
      </c>
      <c r="K55" s="18" t="n">
        <v>8.5</v>
      </c>
      <c r="L55" s="18" t="n">
        <v>7</v>
      </c>
      <c r="M55" s="18" t="n">
        <v>5</v>
      </c>
      <c r="N55" s="18" t="n">
        <v>9</v>
      </c>
      <c r="O55" s="18" t="n">
        <v>7</v>
      </c>
      <c r="P55" s="18" t="n">
        <v>5</v>
      </c>
      <c r="Q55" s="22" t="n">
        <v>500</v>
      </c>
      <c r="R55" s="18" t="n">
        <v>7</v>
      </c>
      <c r="S55" s="18" t="n">
        <v>7</v>
      </c>
      <c r="T55" s="19" t="s">
        <v>108</v>
      </c>
      <c r="U55" s="18" t="s">
        <v>277</v>
      </c>
      <c r="V55" s="18" t="n">
        <v>7.5</v>
      </c>
      <c r="W55" s="18" t="n">
        <v>8</v>
      </c>
      <c r="X55" s="18" t="n">
        <v>8</v>
      </c>
      <c r="Y55" s="29" t="s">
        <v>96</v>
      </c>
      <c r="Z55" s="24" t="s">
        <v>124</v>
      </c>
      <c r="AA55" s="25" t="n">
        <f aca="false">ROUND(K55*0.12 + I55*0.08 + J55*0.07 + L55*0.06 + M55*0.06 + N55*0.08 + O55*0.06 + R55*0.09 + S55*0.04 + V55*0.13 + W55*0.11 + X55*0.08 + (I55+J55)/2*0.02, 2)</f>
        <v>7.6</v>
      </c>
    </row>
    <row r="56" customFormat="false" ht="15" hidden="false" customHeight="true" outlineLevel="0" collapsed="false">
      <c r="A56" s="8" t="n">
        <v>53</v>
      </c>
      <c r="B56" s="9" t="s">
        <v>197</v>
      </c>
      <c r="C56" s="9" t="s">
        <v>268</v>
      </c>
      <c r="D56" s="9" t="s">
        <v>281</v>
      </c>
      <c r="E56" s="10" t="s">
        <v>282</v>
      </c>
      <c r="F56" s="11" t="s">
        <v>283</v>
      </c>
      <c r="G56" s="9" t="s">
        <v>284</v>
      </c>
      <c r="H56" s="12" t="s">
        <v>202</v>
      </c>
      <c r="I56" s="30" t="n">
        <v>7.5</v>
      </c>
      <c r="J56" s="30" t="n">
        <v>8</v>
      </c>
      <c r="K56" s="8" t="n">
        <v>9</v>
      </c>
      <c r="L56" s="8" t="n">
        <v>6</v>
      </c>
      <c r="M56" s="8" t="n">
        <v>3</v>
      </c>
      <c r="N56" s="8" t="n">
        <v>8</v>
      </c>
      <c r="O56" s="8" t="n">
        <v>8</v>
      </c>
      <c r="P56" s="8" t="n">
        <v>6</v>
      </c>
      <c r="Q56" s="14" t="n">
        <v>500</v>
      </c>
      <c r="R56" s="8" t="n">
        <v>6</v>
      </c>
      <c r="S56" s="8" t="n">
        <v>6</v>
      </c>
      <c r="T56" s="9" t="s">
        <v>128</v>
      </c>
      <c r="U56" s="8" t="s">
        <v>285</v>
      </c>
      <c r="V56" s="8" t="n">
        <v>9</v>
      </c>
      <c r="W56" s="8" t="n">
        <v>7</v>
      </c>
      <c r="X56" s="8" t="n">
        <v>8.5</v>
      </c>
      <c r="Y56" s="28" t="s">
        <v>134</v>
      </c>
      <c r="Z56" s="16" t="s">
        <v>286</v>
      </c>
      <c r="AA56" s="17" t="n">
        <f aca="false">ROUND(K56*0.12 + I56*0.08 + J56*0.07 + L56*0.06 + M56*0.06 + N56*0.08 + O56*0.06 + R56*0.09 + S56*0.04 + V56*0.13 + W56*0.11 + X56*0.08 + (I56+J56)/2*0.02, 2)</f>
        <v>7.46</v>
      </c>
    </row>
    <row r="57" customFormat="false" ht="15" hidden="false" customHeight="true" outlineLevel="0" collapsed="false">
      <c r="A57" s="18" t="n">
        <v>54</v>
      </c>
      <c r="B57" s="19" t="s">
        <v>197</v>
      </c>
      <c r="C57" s="19" t="s">
        <v>268</v>
      </c>
      <c r="D57" s="19" t="s">
        <v>287</v>
      </c>
      <c r="E57" s="20" t="s">
        <v>288</v>
      </c>
      <c r="F57" s="21" t="s">
        <v>289</v>
      </c>
      <c r="G57" s="19" t="s">
        <v>34</v>
      </c>
      <c r="H57" s="12" t="s">
        <v>202</v>
      </c>
      <c r="I57" s="30" t="n">
        <v>7.5</v>
      </c>
      <c r="J57" s="30" t="n">
        <v>8</v>
      </c>
      <c r="K57" s="18" t="n">
        <v>8.5</v>
      </c>
      <c r="L57" s="18" t="n">
        <v>7</v>
      </c>
      <c r="M57" s="18" t="n">
        <v>7</v>
      </c>
      <c r="N57" s="18" t="n">
        <v>8</v>
      </c>
      <c r="O57" s="18" t="n">
        <v>8</v>
      </c>
      <c r="P57" s="18" t="n">
        <v>4</v>
      </c>
      <c r="Q57" s="22" t="n">
        <v>400</v>
      </c>
      <c r="R57" s="18" t="n">
        <v>7</v>
      </c>
      <c r="S57" s="18" t="n">
        <v>8</v>
      </c>
      <c r="T57" s="19" t="s">
        <v>248</v>
      </c>
      <c r="U57" s="18" t="s">
        <v>277</v>
      </c>
      <c r="V57" s="18" t="n">
        <v>9</v>
      </c>
      <c r="W57" s="18" t="n">
        <v>8</v>
      </c>
      <c r="X57" s="18" t="n">
        <v>9</v>
      </c>
      <c r="Y57" s="23" t="s">
        <v>56</v>
      </c>
      <c r="Z57" s="24" t="s">
        <v>57</v>
      </c>
      <c r="AA57" s="25" t="n">
        <f aca="false">ROUND(K57*0.12 + I57*0.08 + J57*0.07 + L57*0.06 + M57*0.06 + N57*0.08 + O57*0.06 + R57*0.09 + S57*0.04 + V57*0.13 + W57*0.11 + X57*0.08 + (I57+J57)/2*0.02, 2)</f>
        <v>8.02</v>
      </c>
    </row>
    <row r="58" customFormat="false" ht="15" hidden="false" customHeight="true" outlineLevel="0" collapsed="false">
      <c r="A58" s="8" t="n">
        <v>55</v>
      </c>
      <c r="B58" s="9" t="s">
        <v>197</v>
      </c>
      <c r="C58" s="9" t="s">
        <v>268</v>
      </c>
      <c r="D58" s="9" t="s">
        <v>290</v>
      </c>
      <c r="E58" s="10" t="s">
        <v>291</v>
      </c>
      <c r="F58" s="11" t="s">
        <v>292</v>
      </c>
      <c r="G58" s="9" t="s">
        <v>293</v>
      </c>
      <c r="H58" s="12" t="s">
        <v>202</v>
      </c>
      <c r="I58" s="30" t="n">
        <v>7.5</v>
      </c>
      <c r="J58" s="30" t="n">
        <v>8</v>
      </c>
      <c r="K58" s="8" t="n">
        <v>8.5</v>
      </c>
      <c r="L58" s="8" t="n">
        <v>4</v>
      </c>
      <c r="M58" s="8" t="n">
        <v>3</v>
      </c>
      <c r="N58" s="8" t="n">
        <v>7</v>
      </c>
      <c r="O58" s="8" t="n">
        <v>7</v>
      </c>
      <c r="P58" s="8" t="n">
        <v>6</v>
      </c>
      <c r="Q58" s="14" t="n">
        <v>600</v>
      </c>
      <c r="R58" s="8" t="n">
        <v>4</v>
      </c>
      <c r="S58" s="8" t="n">
        <v>5</v>
      </c>
      <c r="T58" s="9" t="s">
        <v>43</v>
      </c>
      <c r="U58" s="8" t="s">
        <v>294</v>
      </c>
      <c r="V58" s="8" t="n">
        <v>9.5</v>
      </c>
      <c r="W58" s="8" t="n">
        <v>6.5</v>
      </c>
      <c r="X58" s="8" t="n">
        <v>7.5</v>
      </c>
      <c r="Y58" s="27" t="s">
        <v>67</v>
      </c>
      <c r="Z58" s="16" t="s">
        <v>295</v>
      </c>
      <c r="AA58" s="17" t="n">
        <f aca="false">ROUND(K58*0.12 + I58*0.08 + J58*0.07 + L58*0.06 + M58*0.06 + N58*0.08 + O58*0.06 + R58*0.09 + S58*0.04 + V58*0.13 + W58*0.11 + X58*0.08 + (I58+J58)/2*0.02, 2)</f>
        <v>6.85</v>
      </c>
    </row>
    <row r="59" customFormat="false" ht="15" hidden="false" customHeight="true" outlineLevel="0" collapsed="false">
      <c r="A59" s="18" t="n">
        <v>56</v>
      </c>
      <c r="B59" s="19" t="s">
        <v>197</v>
      </c>
      <c r="C59" s="19" t="s">
        <v>268</v>
      </c>
      <c r="D59" s="19" t="s">
        <v>269</v>
      </c>
      <c r="E59" s="20" t="s">
        <v>296</v>
      </c>
      <c r="F59" s="21" t="s">
        <v>297</v>
      </c>
      <c r="G59" s="19" t="s">
        <v>298</v>
      </c>
      <c r="H59" s="12" t="s">
        <v>202</v>
      </c>
      <c r="I59" s="30" t="n">
        <v>7.5</v>
      </c>
      <c r="J59" s="30" t="n">
        <v>8</v>
      </c>
      <c r="K59" s="18" t="n">
        <v>8</v>
      </c>
      <c r="L59" s="18" t="n">
        <v>8</v>
      </c>
      <c r="M59" s="18" t="n">
        <v>5</v>
      </c>
      <c r="N59" s="18" t="n">
        <v>7</v>
      </c>
      <c r="O59" s="18" t="n">
        <v>6</v>
      </c>
      <c r="P59" s="18" t="n">
        <v>4</v>
      </c>
      <c r="Q59" s="22" t="n">
        <v>600</v>
      </c>
      <c r="R59" s="18" t="n">
        <v>8</v>
      </c>
      <c r="S59" s="18" t="n">
        <v>8</v>
      </c>
      <c r="T59" s="19" t="s">
        <v>36</v>
      </c>
      <c r="U59" s="19" t="s">
        <v>248</v>
      </c>
      <c r="V59" s="18" t="n">
        <v>6.5</v>
      </c>
      <c r="W59" s="18" t="n">
        <v>8.5</v>
      </c>
      <c r="X59" s="18" t="n">
        <v>7</v>
      </c>
      <c r="Y59" s="26" t="s">
        <v>50</v>
      </c>
      <c r="Z59" s="24" t="s">
        <v>51</v>
      </c>
      <c r="AA59" s="25" t="n">
        <f aca="false">ROUND(K59*0.12 + I59*0.08 + J59*0.07 + L59*0.06 + M59*0.06 + N59*0.08 + O59*0.06 + R59*0.09 + S59*0.04 + V59*0.13 + W59*0.11 + X59*0.08 + (I59+J59)/2*0.02, 2)</f>
        <v>7.36</v>
      </c>
    </row>
    <row r="60" customFormat="false" ht="15" hidden="false" customHeight="true" outlineLevel="0" collapsed="false">
      <c r="A60" s="8" t="n">
        <v>57</v>
      </c>
      <c r="B60" s="9" t="s">
        <v>197</v>
      </c>
      <c r="C60" s="9" t="s">
        <v>268</v>
      </c>
      <c r="D60" s="9" t="s">
        <v>299</v>
      </c>
      <c r="E60" s="10" t="s">
        <v>300</v>
      </c>
      <c r="F60" s="11" t="s">
        <v>301</v>
      </c>
      <c r="G60" s="9" t="s">
        <v>55</v>
      </c>
      <c r="H60" s="12" t="s">
        <v>202</v>
      </c>
      <c r="I60" s="30" t="n">
        <v>7.5</v>
      </c>
      <c r="J60" s="30" t="n">
        <v>8</v>
      </c>
      <c r="K60" s="8" t="n">
        <v>8.2</v>
      </c>
      <c r="L60" s="8" t="n">
        <v>6</v>
      </c>
      <c r="M60" s="8" t="n">
        <v>6</v>
      </c>
      <c r="N60" s="8" t="n">
        <v>8</v>
      </c>
      <c r="O60" s="8" t="n">
        <v>8</v>
      </c>
      <c r="P60" s="8" t="n">
        <v>3</v>
      </c>
      <c r="Q60" s="14" t="n">
        <v>350</v>
      </c>
      <c r="R60" s="8" t="n">
        <v>7</v>
      </c>
      <c r="S60" s="8" t="n">
        <v>8</v>
      </c>
      <c r="T60" s="9" t="s">
        <v>248</v>
      </c>
      <c r="U60" s="9" t="s">
        <v>248</v>
      </c>
      <c r="V60" s="8" t="n">
        <v>7.5</v>
      </c>
      <c r="W60" s="8" t="n">
        <v>7.5</v>
      </c>
      <c r="X60" s="8" t="n">
        <v>9</v>
      </c>
      <c r="Y60" s="23" t="s">
        <v>45</v>
      </c>
      <c r="Z60" s="16" t="s">
        <v>46</v>
      </c>
      <c r="AA60" s="17" t="n">
        <f aca="false">ROUND(K60*0.12 + I60*0.08 + J60*0.07 + L60*0.06 + M60*0.06 + N60*0.08 + O60*0.06 + R60*0.09 + S60*0.04 + V60*0.13 + W60*0.11 + X60*0.08 + (I60+J60)/2*0.02, 2)</f>
        <v>7.61</v>
      </c>
    </row>
    <row r="61" customFormat="false" ht="15" hidden="false" customHeight="true" outlineLevel="0" collapsed="false">
      <c r="A61" s="18" t="n">
        <v>58</v>
      </c>
      <c r="B61" s="19" t="s">
        <v>197</v>
      </c>
      <c r="C61" s="19" t="s">
        <v>302</v>
      </c>
      <c r="D61" s="19" t="s">
        <v>303</v>
      </c>
      <c r="E61" s="20" t="s">
        <v>304</v>
      </c>
      <c r="F61" s="21" t="s">
        <v>305</v>
      </c>
      <c r="G61" s="19" t="s">
        <v>306</v>
      </c>
      <c r="H61" s="31" t="s">
        <v>307</v>
      </c>
      <c r="I61" s="30" t="n">
        <v>7.5</v>
      </c>
      <c r="J61" s="32" t="n">
        <v>7</v>
      </c>
      <c r="K61" s="18" t="n">
        <v>9.2</v>
      </c>
      <c r="L61" s="18" t="n">
        <v>6</v>
      </c>
      <c r="M61" s="18" t="n">
        <v>5</v>
      </c>
      <c r="N61" s="18" t="n">
        <v>9</v>
      </c>
      <c r="O61" s="18" t="n">
        <v>7</v>
      </c>
      <c r="P61" s="18" t="n">
        <v>6</v>
      </c>
      <c r="Q61" s="22" t="n">
        <v>400</v>
      </c>
      <c r="R61" s="18" t="n">
        <v>7</v>
      </c>
      <c r="S61" s="18" t="n">
        <v>6</v>
      </c>
      <c r="T61" s="19" t="s">
        <v>146</v>
      </c>
      <c r="U61" s="18" t="s">
        <v>147</v>
      </c>
      <c r="V61" s="18" t="n">
        <v>9.5</v>
      </c>
      <c r="W61" s="18" t="n">
        <v>7</v>
      </c>
      <c r="X61" s="18" t="n">
        <v>8.5</v>
      </c>
      <c r="Y61" s="29" t="s">
        <v>96</v>
      </c>
      <c r="Z61" s="24" t="s">
        <v>124</v>
      </c>
      <c r="AA61" s="25" t="n">
        <f aca="false">ROUND(K61*0.12 + I61*0.08 + J61*0.07 + L61*0.06 + M61*0.06 + N61*0.08 + O61*0.06 + R61*0.09 + S61*0.04 + V61*0.13 + W61*0.11 + X61*0.08 + (I61+J61)/2*0.02, 2)</f>
        <v>7.69</v>
      </c>
    </row>
    <row r="62" customFormat="false" ht="15" hidden="false" customHeight="true" outlineLevel="0" collapsed="false">
      <c r="A62" s="8" t="n">
        <v>59</v>
      </c>
      <c r="B62" s="9" t="s">
        <v>197</v>
      </c>
      <c r="C62" s="9" t="s">
        <v>302</v>
      </c>
      <c r="D62" s="9" t="s">
        <v>308</v>
      </c>
      <c r="E62" s="10" t="s">
        <v>309</v>
      </c>
      <c r="F62" s="11" t="s">
        <v>310</v>
      </c>
      <c r="G62" s="9" t="s">
        <v>34</v>
      </c>
      <c r="H62" s="31" t="s">
        <v>307</v>
      </c>
      <c r="I62" s="30" t="n">
        <v>7.5</v>
      </c>
      <c r="J62" s="32" t="n">
        <v>7</v>
      </c>
      <c r="K62" s="8" t="n">
        <v>9.2</v>
      </c>
      <c r="L62" s="8" t="n">
        <v>7</v>
      </c>
      <c r="M62" s="8" t="n">
        <v>7</v>
      </c>
      <c r="N62" s="8" t="n">
        <v>10</v>
      </c>
      <c r="O62" s="8" t="n">
        <v>9</v>
      </c>
      <c r="P62" s="8" t="n">
        <v>4</v>
      </c>
      <c r="Q62" s="14" t="n">
        <v>300</v>
      </c>
      <c r="R62" s="8" t="n">
        <v>7</v>
      </c>
      <c r="S62" s="8" t="n">
        <v>7</v>
      </c>
      <c r="T62" s="9" t="s">
        <v>128</v>
      </c>
      <c r="U62" s="8" t="s">
        <v>311</v>
      </c>
      <c r="V62" s="8" t="n">
        <v>9</v>
      </c>
      <c r="W62" s="8" t="n">
        <v>7.5</v>
      </c>
      <c r="X62" s="8" t="n">
        <v>9.5</v>
      </c>
      <c r="Y62" s="15" t="s">
        <v>38</v>
      </c>
      <c r="Z62" s="16" t="s">
        <v>312</v>
      </c>
      <c r="AA62" s="17" t="n">
        <f aca="false">ROUND(K62*0.12 + I62*0.08 + J62*0.07 + L62*0.06 + M62*0.06 + N62*0.08 + O62*0.06 + R62*0.09 + S62*0.04 + V62*0.13 + W62*0.11 + X62*0.08 + (I62+J62)/2*0.02, 2)</f>
        <v>8.18</v>
      </c>
    </row>
    <row r="63" customFormat="false" ht="15" hidden="false" customHeight="true" outlineLevel="0" collapsed="false">
      <c r="A63" s="18" t="n">
        <v>60</v>
      </c>
      <c r="B63" s="19" t="s">
        <v>197</v>
      </c>
      <c r="C63" s="19" t="s">
        <v>302</v>
      </c>
      <c r="D63" s="19" t="s">
        <v>313</v>
      </c>
      <c r="E63" s="20" t="s">
        <v>314</v>
      </c>
      <c r="F63" s="21" t="s">
        <v>315</v>
      </c>
      <c r="G63" s="19" t="s">
        <v>316</v>
      </c>
      <c r="H63" s="31" t="s">
        <v>307</v>
      </c>
      <c r="I63" s="30" t="n">
        <v>7.5</v>
      </c>
      <c r="J63" s="32" t="n">
        <v>7</v>
      </c>
      <c r="K63" s="18" t="n">
        <v>8.8</v>
      </c>
      <c r="L63" s="18" t="n">
        <v>8</v>
      </c>
      <c r="M63" s="18" t="n">
        <v>5</v>
      </c>
      <c r="N63" s="18" t="n">
        <v>9</v>
      </c>
      <c r="O63" s="18" t="n">
        <v>7</v>
      </c>
      <c r="P63" s="18" t="n">
        <v>5</v>
      </c>
      <c r="Q63" s="22" t="n">
        <v>400</v>
      </c>
      <c r="R63" s="18" t="n">
        <v>7</v>
      </c>
      <c r="S63" s="18" t="n">
        <v>7</v>
      </c>
      <c r="T63" s="19" t="s">
        <v>128</v>
      </c>
      <c r="U63" s="18" t="s">
        <v>311</v>
      </c>
      <c r="V63" s="18" t="n">
        <v>7.5</v>
      </c>
      <c r="W63" s="18" t="n">
        <v>8</v>
      </c>
      <c r="X63" s="18" t="n">
        <v>8</v>
      </c>
      <c r="Y63" s="29" t="s">
        <v>96</v>
      </c>
      <c r="Z63" s="24" t="s">
        <v>124</v>
      </c>
      <c r="AA63" s="25" t="n">
        <f aca="false">ROUND(K63*0.12 + I63*0.08 + J63*0.07 + L63*0.06 + M63*0.06 + N63*0.08 + O63*0.06 + R63*0.09 + S63*0.04 + V63*0.13 + W63*0.11 + X63*0.08 + (I63+J63)/2*0.02, 2)</f>
        <v>7.62</v>
      </c>
    </row>
    <row r="64" customFormat="false" ht="15" hidden="false" customHeight="true" outlineLevel="0" collapsed="false">
      <c r="A64" s="8" t="n">
        <v>61</v>
      </c>
      <c r="B64" s="9" t="s">
        <v>197</v>
      </c>
      <c r="C64" s="9" t="s">
        <v>302</v>
      </c>
      <c r="D64" s="9" t="s">
        <v>317</v>
      </c>
      <c r="E64" s="10" t="s">
        <v>318</v>
      </c>
      <c r="F64" s="11" t="s">
        <v>319</v>
      </c>
      <c r="G64" s="9" t="s">
        <v>34</v>
      </c>
      <c r="H64" s="31" t="s">
        <v>307</v>
      </c>
      <c r="I64" s="30" t="n">
        <v>7.5</v>
      </c>
      <c r="J64" s="32" t="n">
        <v>7</v>
      </c>
      <c r="K64" s="8" t="n">
        <v>8.5</v>
      </c>
      <c r="L64" s="8" t="n">
        <v>5</v>
      </c>
      <c r="M64" s="8" t="n">
        <v>5</v>
      </c>
      <c r="N64" s="8" t="n">
        <v>8</v>
      </c>
      <c r="O64" s="8" t="n">
        <v>8</v>
      </c>
      <c r="P64" s="8" t="n">
        <v>4</v>
      </c>
      <c r="Q64" s="14" t="n">
        <v>300</v>
      </c>
      <c r="R64" s="8" t="n">
        <v>7</v>
      </c>
      <c r="S64" s="8" t="n">
        <v>7</v>
      </c>
      <c r="T64" s="9" t="s">
        <v>128</v>
      </c>
      <c r="U64" s="8" t="s">
        <v>311</v>
      </c>
      <c r="V64" s="8" t="n">
        <v>9</v>
      </c>
      <c r="W64" s="8" t="n">
        <v>7</v>
      </c>
      <c r="X64" s="8" t="n">
        <v>9</v>
      </c>
      <c r="Y64" s="26" t="s">
        <v>50</v>
      </c>
      <c r="Z64" s="16" t="s">
        <v>51</v>
      </c>
      <c r="AA64" s="17" t="n">
        <f aca="false">ROUND(K64*0.12 + I64*0.08 + J64*0.07 + L64*0.06 + M64*0.06 + N64*0.08 + O64*0.06 + R64*0.09 + S64*0.04 + V64*0.13 + W64*0.11 + X64*0.08 + (I64+J64)/2*0.02, 2)</f>
        <v>7.55</v>
      </c>
    </row>
    <row r="65" customFormat="false" ht="15" hidden="false" customHeight="true" outlineLevel="0" collapsed="false">
      <c r="A65" s="18" t="n">
        <v>62</v>
      </c>
      <c r="B65" s="19" t="s">
        <v>197</v>
      </c>
      <c r="C65" s="19" t="s">
        <v>302</v>
      </c>
      <c r="D65" s="19" t="s">
        <v>320</v>
      </c>
      <c r="E65" s="20" t="s">
        <v>321</v>
      </c>
      <c r="F65" s="21" t="s">
        <v>322</v>
      </c>
      <c r="G65" s="19" t="s">
        <v>323</v>
      </c>
      <c r="H65" s="31" t="s">
        <v>307</v>
      </c>
      <c r="I65" s="30" t="n">
        <v>7.5</v>
      </c>
      <c r="J65" s="32" t="n">
        <v>7</v>
      </c>
      <c r="K65" s="18" t="n">
        <v>8.5</v>
      </c>
      <c r="L65" s="18" t="n">
        <v>6</v>
      </c>
      <c r="M65" s="18" t="n">
        <v>4</v>
      </c>
      <c r="N65" s="18" t="n">
        <v>7</v>
      </c>
      <c r="O65" s="18" t="n">
        <v>8</v>
      </c>
      <c r="P65" s="18" t="n">
        <v>3</v>
      </c>
      <c r="Q65" s="22" t="n">
        <v>300</v>
      </c>
      <c r="R65" s="18" t="n">
        <v>8</v>
      </c>
      <c r="S65" s="18" t="n">
        <v>8</v>
      </c>
      <c r="T65" s="19" t="s">
        <v>108</v>
      </c>
      <c r="U65" s="18" t="s">
        <v>215</v>
      </c>
      <c r="V65" s="18" t="n">
        <v>8</v>
      </c>
      <c r="W65" s="18" t="n">
        <v>7</v>
      </c>
      <c r="X65" s="18" t="n">
        <v>9</v>
      </c>
      <c r="Y65" s="29" t="s">
        <v>96</v>
      </c>
      <c r="Z65" s="24" t="s">
        <v>324</v>
      </c>
      <c r="AA65" s="25" t="n">
        <f aca="false">ROUND(K65*0.12 + I65*0.08 + J65*0.07 + L65*0.06 + M65*0.06 + N65*0.08 + O65*0.06 + R65*0.09 + S65*0.04 + V65*0.13 + W65*0.11 + X65*0.08 + (I65+J65)/2*0.02, 2)</f>
        <v>7.47</v>
      </c>
    </row>
    <row r="66" customFormat="false" ht="15" hidden="false" customHeight="true" outlineLevel="0" collapsed="false">
      <c r="A66" s="8" t="n">
        <v>63</v>
      </c>
      <c r="B66" s="9" t="s">
        <v>197</v>
      </c>
      <c r="C66" s="9" t="s">
        <v>302</v>
      </c>
      <c r="D66" s="9" t="s">
        <v>325</v>
      </c>
      <c r="E66" s="10" t="s">
        <v>326</v>
      </c>
      <c r="F66" s="11" t="s">
        <v>327</v>
      </c>
      <c r="G66" s="9" t="s">
        <v>328</v>
      </c>
      <c r="H66" s="31" t="s">
        <v>307</v>
      </c>
      <c r="I66" s="30" t="n">
        <v>7.5</v>
      </c>
      <c r="J66" s="32" t="n">
        <v>7</v>
      </c>
      <c r="K66" s="8" t="n">
        <v>9</v>
      </c>
      <c r="L66" s="8" t="n">
        <v>6</v>
      </c>
      <c r="M66" s="8" t="n">
        <v>5</v>
      </c>
      <c r="N66" s="8" t="n">
        <v>9</v>
      </c>
      <c r="O66" s="8" t="n">
        <v>7</v>
      </c>
      <c r="P66" s="8" t="n">
        <v>5</v>
      </c>
      <c r="Q66" s="14" t="n">
        <v>300</v>
      </c>
      <c r="R66" s="8" t="n">
        <v>6</v>
      </c>
      <c r="S66" s="8" t="n">
        <v>6</v>
      </c>
      <c r="T66" s="9" t="s">
        <v>146</v>
      </c>
      <c r="U66" s="8" t="s">
        <v>147</v>
      </c>
      <c r="V66" s="8" t="n">
        <v>9.5</v>
      </c>
      <c r="W66" s="8" t="n">
        <v>7</v>
      </c>
      <c r="X66" s="8" t="n">
        <v>9.5</v>
      </c>
      <c r="Y66" s="29" t="s">
        <v>96</v>
      </c>
      <c r="Z66" s="16" t="s">
        <v>124</v>
      </c>
      <c r="AA66" s="17" t="n">
        <f aca="false">ROUND(K66*0.12 + I66*0.08 + J66*0.07 + L66*0.06 + M66*0.06 + N66*0.08 + O66*0.06 + R66*0.09 + S66*0.04 + V66*0.13 + W66*0.11 + X66*0.08 + (I66+J66)/2*0.02, 2)</f>
        <v>7.66</v>
      </c>
    </row>
    <row r="67" customFormat="false" ht="15" hidden="false" customHeight="true" outlineLevel="0" collapsed="false">
      <c r="A67" s="18" t="n">
        <v>64</v>
      </c>
      <c r="B67" s="19" t="s">
        <v>197</v>
      </c>
      <c r="C67" s="19" t="s">
        <v>302</v>
      </c>
      <c r="D67" s="19" t="s">
        <v>329</v>
      </c>
      <c r="E67" s="20" t="s">
        <v>330</v>
      </c>
      <c r="F67" s="21" t="s">
        <v>331</v>
      </c>
      <c r="G67" s="19" t="s">
        <v>332</v>
      </c>
      <c r="H67" s="31" t="s">
        <v>307</v>
      </c>
      <c r="I67" s="30" t="n">
        <v>7.5</v>
      </c>
      <c r="J67" s="32" t="n">
        <v>7</v>
      </c>
      <c r="K67" s="18" t="n">
        <v>8.8</v>
      </c>
      <c r="L67" s="18" t="n">
        <v>4</v>
      </c>
      <c r="M67" s="18" t="n">
        <v>3</v>
      </c>
      <c r="N67" s="18" t="n">
        <v>8</v>
      </c>
      <c r="O67" s="18" t="n">
        <v>8</v>
      </c>
      <c r="P67" s="18" t="n">
        <v>6</v>
      </c>
      <c r="Q67" s="22" t="n">
        <v>300</v>
      </c>
      <c r="R67" s="18" t="n">
        <v>5</v>
      </c>
      <c r="S67" s="18" t="n">
        <v>5</v>
      </c>
      <c r="T67" s="19" t="s">
        <v>122</v>
      </c>
      <c r="U67" s="18" t="s">
        <v>333</v>
      </c>
      <c r="V67" s="18" t="n">
        <v>8.5</v>
      </c>
      <c r="W67" s="18" t="n">
        <v>6</v>
      </c>
      <c r="X67" s="18" t="n">
        <v>9</v>
      </c>
      <c r="Y67" s="27" t="s">
        <v>67</v>
      </c>
      <c r="Z67" s="24" t="s">
        <v>295</v>
      </c>
      <c r="AA67" s="25" t="n">
        <f aca="false">ROUND(K67*0.12 + I67*0.08 + J67*0.07 + L67*0.06 + M67*0.06 + N67*0.08 + O67*0.06 + R67*0.09 + S67*0.04 + V67*0.13 + W67*0.11 + X67*0.08 + (I67+J67)/2*0.02, 2)</f>
        <v>6.97</v>
      </c>
    </row>
    <row r="68" customFormat="false" ht="15" hidden="false" customHeight="true" outlineLevel="0" collapsed="false">
      <c r="A68" s="8" t="n">
        <v>65</v>
      </c>
      <c r="B68" s="9" t="s">
        <v>197</v>
      </c>
      <c r="C68" s="9" t="s">
        <v>302</v>
      </c>
      <c r="D68" s="9" t="s">
        <v>334</v>
      </c>
      <c r="E68" s="10" t="s">
        <v>334</v>
      </c>
      <c r="F68" s="11" t="s">
        <v>335</v>
      </c>
      <c r="G68" s="9" t="s">
        <v>214</v>
      </c>
      <c r="H68" s="31" t="s">
        <v>307</v>
      </c>
      <c r="I68" s="30" t="n">
        <v>7.5</v>
      </c>
      <c r="J68" s="32" t="n">
        <v>7</v>
      </c>
      <c r="K68" s="8" t="n">
        <v>8.5</v>
      </c>
      <c r="L68" s="8" t="n">
        <v>7</v>
      </c>
      <c r="M68" s="8" t="n">
        <v>5</v>
      </c>
      <c r="N68" s="8" t="n">
        <v>9</v>
      </c>
      <c r="O68" s="8" t="n">
        <v>7</v>
      </c>
      <c r="P68" s="8" t="n">
        <v>5</v>
      </c>
      <c r="Q68" s="14" t="n">
        <v>500</v>
      </c>
      <c r="R68" s="8" t="n">
        <v>6</v>
      </c>
      <c r="S68" s="8" t="n">
        <v>7</v>
      </c>
      <c r="T68" s="9" t="s">
        <v>108</v>
      </c>
      <c r="U68" s="8" t="s">
        <v>215</v>
      </c>
      <c r="V68" s="8" t="n">
        <v>7</v>
      </c>
      <c r="W68" s="8" t="n">
        <v>8</v>
      </c>
      <c r="X68" s="8" t="n">
        <v>8</v>
      </c>
      <c r="Y68" s="29" t="s">
        <v>96</v>
      </c>
      <c r="Z68" s="16" t="s">
        <v>124</v>
      </c>
      <c r="AA68" s="17" t="n">
        <f aca="false">ROUND(K68*0.12 + I68*0.08 + J68*0.07 + L68*0.06 + M68*0.06 + N68*0.08 + O68*0.06 + R68*0.09 + S68*0.04 + V68*0.13 + W68*0.11 + X68*0.08 + (I68+J68)/2*0.02, 2)</f>
        <v>7.37</v>
      </c>
    </row>
    <row r="69" customFormat="false" ht="15" hidden="false" customHeight="true" outlineLevel="0" collapsed="false">
      <c r="A69" s="18" t="n">
        <v>66</v>
      </c>
      <c r="B69" s="19" t="s">
        <v>197</v>
      </c>
      <c r="C69" s="19" t="s">
        <v>336</v>
      </c>
      <c r="D69" s="19" t="s">
        <v>337</v>
      </c>
      <c r="E69" s="20" t="s">
        <v>338</v>
      </c>
      <c r="F69" s="21" t="s">
        <v>339</v>
      </c>
      <c r="G69" s="19" t="s">
        <v>340</v>
      </c>
      <c r="H69" s="12" t="s">
        <v>35</v>
      </c>
      <c r="I69" s="30" t="n">
        <v>8</v>
      </c>
      <c r="J69" s="30" t="n">
        <v>7.5</v>
      </c>
      <c r="K69" s="18" t="n">
        <v>9.2</v>
      </c>
      <c r="L69" s="18" t="n">
        <v>7</v>
      </c>
      <c r="M69" s="18" t="n">
        <v>5</v>
      </c>
      <c r="N69" s="18" t="n">
        <v>10</v>
      </c>
      <c r="O69" s="18" t="n">
        <v>8</v>
      </c>
      <c r="P69" s="18" t="n">
        <v>7</v>
      </c>
      <c r="Q69" s="22" t="n">
        <v>500</v>
      </c>
      <c r="R69" s="18" t="n">
        <v>8</v>
      </c>
      <c r="S69" s="18" t="n">
        <v>7</v>
      </c>
      <c r="T69" s="19" t="s">
        <v>341</v>
      </c>
      <c r="U69" s="18" t="s">
        <v>163</v>
      </c>
      <c r="V69" s="18" t="n">
        <v>9</v>
      </c>
      <c r="W69" s="18" t="n">
        <v>8</v>
      </c>
      <c r="X69" s="18" t="n">
        <v>8.5</v>
      </c>
      <c r="Y69" s="29" t="s">
        <v>96</v>
      </c>
      <c r="Z69" s="24" t="s">
        <v>124</v>
      </c>
      <c r="AA69" s="25" t="n">
        <f aca="false">ROUND(K69*0.12 + I69*0.08 + J69*0.07 + L69*0.06 + M69*0.06 + N69*0.08 + O69*0.06 + R69*0.09 + S69*0.04 + V69*0.13 + W69*0.11 + X69*0.08 + (I69+J69)/2*0.02, 2)</f>
        <v>8.15</v>
      </c>
    </row>
    <row r="70" customFormat="false" ht="15" hidden="false" customHeight="true" outlineLevel="0" collapsed="false">
      <c r="A70" s="8" t="n">
        <v>67</v>
      </c>
      <c r="B70" s="9" t="s">
        <v>197</v>
      </c>
      <c r="C70" s="9" t="s">
        <v>336</v>
      </c>
      <c r="D70" s="9" t="s">
        <v>337</v>
      </c>
      <c r="E70" s="10" t="s">
        <v>342</v>
      </c>
      <c r="F70" s="11" t="s">
        <v>343</v>
      </c>
      <c r="G70" s="9" t="s">
        <v>344</v>
      </c>
      <c r="H70" s="12" t="s">
        <v>35</v>
      </c>
      <c r="I70" s="30" t="n">
        <v>8</v>
      </c>
      <c r="J70" s="30" t="n">
        <v>7.5</v>
      </c>
      <c r="K70" s="8" t="n">
        <v>8.5</v>
      </c>
      <c r="L70" s="8" t="n">
        <v>7</v>
      </c>
      <c r="M70" s="8" t="n">
        <v>5</v>
      </c>
      <c r="N70" s="8" t="n">
        <v>9</v>
      </c>
      <c r="O70" s="8" t="n">
        <v>8</v>
      </c>
      <c r="P70" s="8" t="n">
        <v>5</v>
      </c>
      <c r="Q70" s="14" t="n">
        <v>600</v>
      </c>
      <c r="R70" s="8" t="n">
        <v>8</v>
      </c>
      <c r="S70" s="8" t="n">
        <v>7</v>
      </c>
      <c r="T70" s="9" t="s">
        <v>341</v>
      </c>
      <c r="U70" s="8" t="s">
        <v>163</v>
      </c>
      <c r="V70" s="8" t="n">
        <v>7</v>
      </c>
      <c r="W70" s="8" t="n">
        <v>8.5</v>
      </c>
      <c r="X70" s="8" t="n">
        <v>7.5</v>
      </c>
      <c r="Y70" s="29" t="s">
        <v>96</v>
      </c>
      <c r="Z70" s="16" t="s">
        <v>124</v>
      </c>
      <c r="AA70" s="17" t="n">
        <f aca="false">ROUND(K70*0.12 + I70*0.08 + J70*0.07 + L70*0.06 + M70*0.06 + N70*0.08 + O70*0.06 + R70*0.09 + S70*0.04 + V70*0.13 + W70*0.11 + X70*0.08 + (I70+J70)/2*0.02, 2)</f>
        <v>7.71</v>
      </c>
    </row>
    <row r="71" customFormat="false" ht="15" hidden="false" customHeight="true" outlineLevel="0" collapsed="false">
      <c r="A71" s="18" t="n">
        <v>68</v>
      </c>
      <c r="B71" s="19" t="s">
        <v>197</v>
      </c>
      <c r="C71" s="19" t="s">
        <v>336</v>
      </c>
      <c r="D71" s="19" t="s">
        <v>345</v>
      </c>
      <c r="E71" s="20" t="s">
        <v>346</v>
      </c>
      <c r="F71" s="21" t="s">
        <v>347</v>
      </c>
      <c r="G71" s="19" t="s">
        <v>34</v>
      </c>
      <c r="H71" s="12" t="s">
        <v>35</v>
      </c>
      <c r="I71" s="30" t="n">
        <v>7.5</v>
      </c>
      <c r="J71" s="30" t="n">
        <v>7.5</v>
      </c>
      <c r="K71" s="18" t="n">
        <v>9.3</v>
      </c>
      <c r="L71" s="18" t="n">
        <v>6</v>
      </c>
      <c r="M71" s="18" t="n">
        <v>5</v>
      </c>
      <c r="N71" s="18" t="n">
        <v>8</v>
      </c>
      <c r="O71" s="18" t="n">
        <v>8</v>
      </c>
      <c r="P71" s="18" t="n">
        <v>4</v>
      </c>
      <c r="Q71" s="22" t="n">
        <v>350</v>
      </c>
      <c r="R71" s="18" t="n">
        <v>6</v>
      </c>
      <c r="S71" s="18" t="n">
        <v>7</v>
      </c>
      <c r="T71" s="19" t="s">
        <v>341</v>
      </c>
      <c r="U71" s="18" t="s">
        <v>348</v>
      </c>
      <c r="V71" s="18" t="n">
        <v>10</v>
      </c>
      <c r="W71" s="18" t="n">
        <v>7.5</v>
      </c>
      <c r="X71" s="18" t="n">
        <v>9</v>
      </c>
      <c r="Y71" s="26" t="s">
        <v>50</v>
      </c>
      <c r="Z71" s="24" t="s">
        <v>51</v>
      </c>
      <c r="AA71" s="25" t="n">
        <f aca="false">ROUND(K71*0.12 + I71*0.08 + J71*0.07 + L71*0.06 + M71*0.06 + N71*0.08 + O71*0.06 + R71*0.09 + S71*0.04 + V71*0.13 + W71*0.11 + X71*0.08 + (I71+J71)/2*0.02, 2)</f>
        <v>7.84</v>
      </c>
    </row>
    <row r="72" customFormat="false" ht="15" hidden="false" customHeight="true" outlineLevel="0" collapsed="false">
      <c r="A72" s="8" t="n">
        <v>69</v>
      </c>
      <c r="B72" s="9" t="s">
        <v>197</v>
      </c>
      <c r="C72" s="9" t="s">
        <v>336</v>
      </c>
      <c r="D72" s="9" t="s">
        <v>345</v>
      </c>
      <c r="E72" s="10" t="s">
        <v>349</v>
      </c>
      <c r="F72" s="11" t="s">
        <v>350</v>
      </c>
      <c r="G72" s="9" t="s">
        <v>34</v>
      </c>
      <c r="H72" s="12" t="s">
        <v>35</v>
      </c>
      <c r="I72" s="30" t="n">
        <v>7.5</v>
      </c>
      <c r="J72" s="30" t="n">
        <v>7.5</v>
      </c>
      <c r="K72" s="8" t="n">
        <v>8.8</v>
      </c>
      <c r="L72" s="8" t="n">
        <v>5</v>
      </c>
      <c r="M72" s="8" t="n">
        <v>5</v>
      </c>
      <c r="N72" s="8" t="n">
        <v>8</v>
      </c>
      <c r="O72" s="8" t="n">
        <v>8</v>
      </c>
      <c r="P72" s="8" t="n">
        <v>3</v>
      </c>
      <c r="Q72" s="14" t="n">
        <v>350</v>
      </c>
      <c r="R72" s="8" t="n">
        <v>6</v>
      </c>
      <c r="S72" s="8" t="n">
        <v>7</v>
      </c>
      <c r="T72" s="9" t="s">
        <v>341</v>
      </c>
      <c r="U72" s="8" t="s">
        <v>348</v>
      </c>
      <c r="V72" s="8" t="n">
        <v>9.5</v>
      </c>
      <c r="W72" s="8" t="n">
        <v>7</v>
      </c>
      <c r="X72" s="8" t="n">
        <v>9</v>
      </c>
      <c r="Y72" s="26" t="s">
        <v>50</v>
      </c>
      <c r="Z72" s="16" t="s">
        <v>51</v>
      </c>
      <c r="AA72" s="17" t="n">
        <f aca="false">ROUND(K72*0.12 + I72*0.08 + J72*0.07 + L72*0.06 + M72*0.06 + N72*0.08 + O72*0.06 + R72*0.09 + S72*0.04 + V72*0.13 + W72*0.11 + X72*0.08 + (I72+J72)/2*0.02, 2)</f>
        <v>7.6</v>
      </c>
    </row>
    <row r="73" customFormat="false" ht="15" hidden="false" customHeight="true" outlineLevel="0" collapsed="false">
      <c r="A73" s="18" t="n">
        <v>70</v>
      </c>
      <c r="B73" s="19" t="s">
        <v>197</v>
      </c>
      <c r="C73" s="19" t="s">
        <v>336</v>
      </c>
      <c r="D73" s="19" t="s">
        <v>351</v>
      </c>
      <c r="E73" s="20" t="s">
        <v>352</v>
      </c>
      <c r="F73" s="21" t="s">
        <v>353</v>
      </c>
      <c r="G73" s="19" t="s">
        <v>354</v>
      </c>
      <c r="H73" s="12" t="s">
        <v>35</v>
      </c>
      <c r="I73" s="32" t="n">
        <v>7</v>
      </c>
      <c r="J73" s="32" t="n">
        <v>7</v>
      </c>
      <c r="K73" s="18" t="n">
        <v>9</v>
      </c>
      <c r="L73" s="18" t="n">
        <v>4</v>
      </c>
      <c r="M73" s="18" t="n">
        <v>3</v>
      </c>
      <c r="N73" s="18" t="n">
        <v>8</v>
      </c>
      <c r="O73" s="18" t="n">
        <v>7</v>
      </c>
      <c r="P73" s="18" t="n">
        <v>6</v>
      </c>
      <c r="Q73" s="22" t="n">
        <v>700</v>
      </c>
      <c r="R73" s="18" t="n">
        <v>4</v>
      </c>
      <c r="S73" s="18" t="n">
        <v>4</v>
      </c>
      <c r="T73" s="19" t="s">
        <v>341</v>
      </c>
      <c r="U73" s="18" t="s">
        <v>355</v>
      </c>
      <c r="V73" s="18" t="n">
        <v>10</v>
      </c>
      <c r="W73" s="18" t="n">
        <v>6</v>
      </c>
      <c r="X73" s="18" t="n">
        <v>7.5</v>
      </c>
      <c r="Y73" s="27" t="s">
        <v>67</v>
      </c>
      <c r="Z73" s="24" t="s">
        <v>356</v>
      </c>
      <c r="AA73" s="25" t="n">
        <f aca="false">ROUND(K73*0.12 + I73*0.08 + J73*0.07 + L73*0.06 + M73*0.06 + N73*0.08 + O73*0.06 + R73*0.09 + S73*0.04 + V73*0.13 + W73*0.11 + X73*0.08 + (I73+J73)/2*0.02, 2)</f>
        <v>6.83</v>
      </c>
    </row>
    <row r="74" customFormat="false" ht="15" hidden="false" customHeight="true" outlineLevel="0" collapsed="false">
      <c r="A74" s="8" t="n">
        <v>71</v>
      </c>
      <c r="B74" s="9" t="s">
        <v>197</v>
      </c>
      <c r="C74" s="9" t="s">
        <v>336</v>
      </c>
      <c r="D74" s="9" t="s">
        <v>357</v>
      </c>
      <c r="E74" s="10" t="s">
        <v>358</v>
      </c>
      <c r="F74" s="11" t="s">
        <v>359</v>
      </c>
      <c r="G74" s="9" t="s">
        <v>360</v>
      </c>
      <c r="H74" s="12" t="s">
        <v>35</v>
      </c>
      <c r="I74" s="32" t="n">
        <v>7</v>
      </c>
      <c r="J74" s="32" t="n">
        <v>7</v>
      </c>
      <c r="K74" s="8" t="n">
        <v>9.5</v>
      </c>
      <c r="L74" s="8" t="n">
        <v>3</v>
      </c>
      <c r="M74" s="8" t="n">
        <v>2</v>
      </c>
      <c r="N74" s="8" t="n">
        <v>8</v>
      </c>
      <c r="O74" s="8" t="n">
        <v>7</v>
      </c>
      <c r="P74" s="8" t="n">
        <v>7</v>
      </c>
      <c r="Q74" s="14" t="n">
        <v>1000</v>
      </c>
      <c r="R74" s="8" t="n">
        <v>3</v>
      </c>
      <c r="S74" s="8" t="n">
        <v>4</v>
      </c>
      <c r="T74" s="9" t="s">
        <v>341</v>
      </c>
      <c r="U74" s="8" t="s">
        <v>147</v>
      </c>
      <c r="V74" s="8" t="n">
        <v>10</v>
      </c>
      <c r="W74" s="8" t="n">
        <v>5</v>
      </c>
      <c r="X74" s="8" t="n">
        <v>7.5</v>
      </c>
      <c r="Y74" s="28" t="s">
        <v>134</v>
      </c>
      <c r="Z74" s="16" t="s">
        <v>361</v>
      </c>
      <c r="AA74" s="17" t="n">
        <f aca="false">ROUND(K74*0.12 + I74*0.08 + J74*0.07 + L74*0.06 + M74*0.06 + N74*0.08 + O74*0.06 + R74*0.09 + S74*0.04 + V74*0.13 + W74*0.11 + X74*0.08 + (I74+J74)/2*0.02, 2)</f>
        <v>6.57</v>
      </c>
    </row>
    <row r="75" customFormat="false" ht="15" hidden="false" customHeight="true" outlineLevel="0" collapsed="false">
      <c r="A75" s="18" t="n">
        <v>72</v>
      </c>
      <c r="B75" s="19" t="s">
        <v>197</v>
      </c>
      <c r="C75" s="19" t="s">
        <v>362</v>
      </c>
      <c r="D75" s="19" t="s">
        <v>363</v>
      </c>
      <c r="E75" s="20" t="s">
        <v>364</v>
      </c>
      <c r="F75" s="21" t="s">
        <v>365</v>
      </c>
      <c r="G75" s="19" t="s">
        <v>214</v>
      </c>
      <c r="H75" s="12" t="s">
        <v>366</v>
      </c>
      <c r="I75" s="32" t="n">
        <v>7</v>
      </c>
      <c r="J75" s="32" t="n">
        <v>6.5</v>
      </c>
      <c r="K75" s="18" t="n">
        <v>8.8</v>
      </c>
      <c r="L75" s="18" t="n">
        <v>7</v>
      </c>
      <c r="M75" s="18" t="n">
        <v>5</v>
      </c>
      <c r="N75" s="18" t="n">
        <v>9</v>
      </c>
      <c r="O75" s="18" t="n">
        <v>7</v>
      </c>
      <c r="P75" s="18" t="n">
        <v>5</v>
      </c>
      <c r="Q75" s="22" t="n">
        <v>500</v>
      </c>
      <c r="R75" s="18" t="n">
        <v>6</v>
      </c>
      <c r="S75" s="18" t="n">
        <v>6</v>
      </c>
      <c r="T75" s="19" t="s">
        <v>341</v>
      </c>
      <c r="U75" s="18" t="s">
        <v>367</v>
      </c>
      <c r="V75" s="18" t="n">
        <v>7.5</v>
      </c>
      <c r="W75" s="18" t="n">
        <v>7.5</v>
      </c>
      <c r="X75" s="18" t="n">
        <v>8</v>
      </c>
      <c r="Y75" s="29" t="s">
        <v>96</v>
      </c>
      <c r="Z75" s="24" t="s">
        <v>124</v>
      </c>
      <c r="AA75" s="25" t="n">
        <f aca="false">ROUND(K75*0.12 + I75*0.08 + J75*0.07 + L75*0.06 + M75*0.06 + N75*0.08 + O75*0.06 + R75*0.09 + S75*0.04 + V75*0.13 + W75*0.11 + X75*0.08 + (I75+J75)/2*0.02, 2)</f>
        <v>7.29</v>
      </c>
    </row>
    <row r="76" customFormat="false" ht="15" hidden="false" customHeight="true" outlineLevel="0" collapsed="false">
      <c r="A76" s="8" t="n">
        <v>73</v>
      </c>
      <c r="B76" s="9" t="s">
        <v>197</v>
      </c>
      <c r="C76" s="9" t="s">
        <v>362</v>
      </c>
      <c r="D76" s="9" t="s">
        <v>368</v>
      </c>
      <c r="E76" s="10" t="s">
        <v>369</v>
      </c>
      <c r="F76" s="11" t="s">
        <v>370</v>
      </c>
      <c r="G76" s="9" t="s">
        <v>371</v>
      </c>
      <c r="H76" s="12" t="s">
        <v>366</v>
      </c>
      <c r="I76" s="32" t="n">
        <v>7</v>
      </c>
      <c r="J76" s="32" t="n">
        <v>6.5</v>
      </c>
      <c r="K76" s="8" t="n">
        <v>9.3</v>
      </c>
      <c r="L76" s="8" t="n">
        <v>5</v>
      </c>
      <c r="M76" s="8" t="n">
        <v>3</v>
      </c>
      <c r="N76" s="8" t="n">
        <v>9</v>
      </c>
      <c r="O76" s="8" t="n">
        <v>8</v>
      </c>
      <c r="P76" s="8" t="n">
        <v>6</v>
      </c>
      <c r="Q76" s="14" t="n">
        <v>500</v>
      </c>
      <c r="R76" s="8" t="n">
        <v>4</v>
      </c>
      <c r="S76" s="8" t="n">
        <v>5</v>
      </c>
      <c r="T76" s="9" t="s">
        <v>341</v>
      </c>
      <c r="U76" s="8" t="s">
        <v>372</v>
      </c>
      <c r="V76" s="8" t="n">
        <v>9.5</v>
      </c>
      <c r="W76" s="8" t="n">
        <v>6</v>
      </c>
      <c r="X76" s="8" t="n">
        <v>8.5</v>
      </c>
      <c r="Y76" s="29" t="s">
        <v>96</v>
      </c>
      <c r="Z76" s="16" t="s">
        <v>373</v>
      </c>
      <c r="AA76" s="17" t="n">
        <f aca="false">ROUND(K76*0.12 + I76*0.08 + J76*0.07 + L76*0.06 + M76*0.06 + N76*0.08 + O76*0.06 + R76*0.09 + S76*0.04 + V76*0.13 + W76*0.11 + X76*0.08 + (I76+J76)/2*0.02, 2)</f>
        <v>7.08</v>
      </c>
    </row>
    <row r="77" customFormat="false" ht="15" hidden="false" customHeight="true" outlineLevel="0" collapsed="false">
      <c r="A77" s="18" t="n">
        <v>74</v>
      </c>
      <c r="B77" s="19" t="s">
        <v>197</v>
      </c>
      <c r="C77" s="19" t="s">
        <v>362</v>
      </c>
      <c r="D77" s="19" t="s">
        <v>374</v>
      </c>
      <c r="E77" s="20" t="s">
        <v>375</v>
      </c>
      <c r="F77" s="21" t="s">
        <v>376</v>
      </c>
      <c r="G77" s="19" t="s">
        <v>354</v>
      </c>
      <c r="H77" s="12" t="s">
        <v>366</v>
      </c>
      <c r="I77" s="32" t="n">
        <v>7</v>
      </c>
      <c r="J77" s="32" t="n">
        <v>6.5</v>
      </c>
      <c r="K77" s="18" t="n">
        <v>8.5</v>
      </c>
      <c r="L77" s="18" t="n">
        <v>7</v>
      </c>
      <c r="M77" s="18" t="n">
        <v>5</v>
      </c>
      <c r="N77" s="18" t="n">
        <v>8</v>
      </c>
      <c r="O77" s="18" t="n">
        <v>7</v>
      </c>
      <c r="P77" s="18" t="n">
        <v>4</v>
      </c>
      <c r="Q77" s="22" t="n">
        <v>400</v>
      </c>
      <c r="R77" s="18" t="n">
        <v>5</v>
      </c>
      <c r="S77" s="18" t="n">
        <v>6</v>
      </c>
      <c r="T77" s="19" t="s">
        <v>341</v>
      </c>
      <c r="U77" s="18" t="s">
        <v>372</v>
      </c>
      <c r="V77" s="18" t="n">
        <v>8</v>
      </c>
      <c r="W77" s="18" t="n">
        <v>7</v>
      </c>
      <c r="X77" s="18" t="n">
        <v>8.5</v>
      </c>
      <c r="Y77" s="26" t="s">
        <v>50</v>
      </c>
      <c r="Z77" s="24" t="s">
        <v>51</v>
      </c>
      <c r="AA77" s="25" t="n">
        <f aca="false">ROUND(K77*0.12 + I77*0.08 + J77*0.07 + L77*0.06 + M77*0.06 + N77*0.08 + O77*0.06 + R77*0.09 + S77*0.04 + V77*0.13 + W77*0.11 + X77*0.08 + (I77+J77)/2*0.02, 2)</f>
        <v>7.13</v>
      </c>
    </row>
    <row r="78" customFormat="false" ht="15" hidden="false" customHeight="true" outlineLevel="0" collapsed="false">
      <c r="A78" s="8" t="n">
        <v>75</v>
      </c>
      <c r="B78" s="9" t="s">
        <v>197</v>
      </c>
      <c r="C78" s="9" t="s">
        <v>362</v>
      </c>
      <c r="D78" s="9" t="s">
        <v>377</v>
      </c>
      <c r="E78" s="10" t="s">
        <v>378</v>
      </c>
      <c r="F78" s="11" t="s">
        <v>379</v>
      </c>
      <c r="G78" s="9" t="s">
        <v>380</v>
      </c>
      <c r="H78" s="12" t="s">
        <v>366</v>
      </c>
      <c r="I78" s="32" t="n">
        <v>6.5</v>
      </c>
      <c r="J78" s="32" t="n">
        <v>6</v>
      </c>
      <c r="K78" s="8" t="n">
        <v>8.8</v>
      </c>
      <c r="L78" s="8" t="n">
        <v>5</v>
      </c>
      <c r="M78" s="8" t="n">
        <v>3</v>
      </c>
      <c r="N78" s="8" t="n">
        <v>8</v>
      </c>
      <c r="O78" s="8" t="n">
        <v>7</v>
      </c>
      <c r="P78" s="8" t="n">
        <v>5</v>
      </c>
      <c r="Q78" s="14" t="n">
        <v>400</v>
      </c>
      <c r="R78" s="8" t="n">
        <v>6</v>
      </c>
      <c r="S78" s="8" t="n">
        <v>6</v>
      </c>
      <c r="T78" s="9" t="s">
        <v>341</v>
      </c>
      <c r="U78" s="8" t="s">
        <v>372</v>
      </c>
      <c r="V78" s="8" t="n">
        <v>8</v>
      </c>
      <c r="W78" s="8" t="n">
        <v>7</v>
      </c>
      <c r="X78" s="8" t="n">
        <v>8.5</v>
      </c>
      <c r="Y78" s="28" t="s">
        <v>134</v>
      </c>
      <c r="Z78" s="16" t="s">
        <v>381</v>
      </c>
      <c r="AA78" s="17" t="n">
        <f aca="false">ROUND(K78*0.12 + I78*0.08 + J78*0.07 + L78*0.06 + M78*0.06 + N78*0.08 + O78*0.06 + R78*0.09 + S78*0.04 + V78*0.13 + W78*0.11 + X78*0.08 + (I78+J78)/2*0.02, 2)</f>
        <v>6.93</v>
      </c>
    </row>
    <row r="79" customFormat="false" ht="15" hidden="false" customHeight="true" outlineLevel="0" collapsed="false">
      <c r="A79" s="18" t="n">
        <v>76</v>
      </c>
      <c r="B79" s="19" t="s">
        <v>197</v>
      </c>
      <c r="C79" s="19" t="s">
        <v>362</v>
      </c>
      <c r="D79" s="19" t="s">
        <v>382</v>
      </c>
      <c r="E79" s="20" t="s">
        <v>383</v>
      </c>
      <c r="F79" s="21" t="s">
        <v>384</v>
      </c>
      <c r="G79" s="19" t="s">
        <v>34</v>
      </c>
      <c r="H79" s="12" t="s">
        <v>366</v>
      </c>
      <c r="I79" s="32" t="n">
        <v>6</v>
      </c>
      <c r="J79" s="32" t="n">
        <v>6</v>
      </c>
      <c r="K79" s="18" t="n">
        <v>7.8</v>
      </c>
      <c r="L79" s="18" t="n">
        <v>5</v>
      </c>
      <c r="M79" s="18" t="n">
        <v>5</v>
      </c>
      <c r="N79" s="18" t="n">
        <v>6</v>
      </c>
      <c r="O79" s="18" t="n">
        <v>7</v>
      </c>
      <c r="P79" s="18" t="n">
        <v>3</v>
      </c>
      <c r="Q79" s="22" t="n">
        <v>400</v>
      </c>
      <c r="R79" s="18" t="n">
        <v>8</v>
      </c>
      <c r="S79" s="18" t="n">
        <v>8</v>
      </c>
      <c r="T79" s="19" t="s">
        <v>108</v>
      </c>
      <c r="U79" s="18" t="s">
        <v>372</v>
      </c>
      <c r="V79" s="18" t="n">
        <v>7.5</v>
      </c>
      <c r="W79" s="18" t="n">
        <v>7</v>
      </c>
      <c r="X79" s="18" t="n">
        <v>8</v>
      </c>
      <c r="Y79" s="26" t="s">
        <v>50</v>
      </c>
      <c r="Z79" s="24" t="s">
        <v>51</v>
      </c>
      <c r="AA79" s="25" t="n">
        <f aca="false">ROUND(K79*0.12 + I79*0.08 + J79*0.07 + L79*0.06 + M79*0.06 + N79*0.08 + O79*0.06 + R79*0.09 + S79*0.04 + V79*0.13 + W79*0.11 + X79*0.08 + (I79+J79)/2*0.02, 2)</f>
        <v>6.88</v>
      </c>
    </row>
    <row r="80" customFormat="false" ht="15" hidden="false" customHeight="true" outlineLevel="0" collapsed="false">
      <c r="A80" s="8" t="n">
        <v>77</v>
      </c>
      <c r="B80" s="9" t="s">
        <v>197</v>
      </c>
      <c r="C80" s="9" t="s">
        <v>385</v>
      </c>
      <c r="D80" s="9" t="s">
        <v>386</v>
      </c>
      <c r="E80" s="10" t="s">
        <v>387</v>
      </c>
      <c r="F80" s="11" t="s">
        <v>388</v>
      </c>
      <c r="G80" s="9" t="s">
        <v>34</v>
      </c>
      <c r="H80" s="33" t="s">
        <v>389</v>
      </c>
      <c r="I80" s="32" t="n">
        <v>6.5</v>
      </c>
      <c r="J80" s="32" t="n">
        <v>6.5</v>
      </c>
      <c r="K80" s="8" t="n">
        <v>9.5</v>
      </c>
      <c r="L80" s="8" t="n">
        <v>6</v>
      </c>
      <c r="M80" s="8" t="n">
        <v>4</v>
      </c>
      <c r="N80" s="8" t="n">
        <v>9</v>
      </c>
      <c r="O80" s="8" t="n">
        <v>9</v>
      </c>
      <c r="P80" s="8" t="n">
        <v>8</v>
      </c>
      <c r="Q80" s="14" t="n">
        <v>350</v>
      </c>
      <c r="R80" s="8" t="n">
        <v>6</v>
      </c>
      <c r="S80" s="8" t="n">
        <v>6</v>
      </c>
      <c r="T80" s="9" t="s">
        <v>108</v>
      </c>
      <c r="U80" s="8" t="s">
        <v>203</v>
      </c>
      <c r="V80" s="8" t="n">
        <v>10</v>
      </c>
      <c r="W80" s="8" t="n">
        <v>7</v>
      </c>
      <c r="X80" s="8" t="n">
        <v>9</v>
      </c>
      <c r="Y80" s="27" t="s">
        <v>67</v>
      </c>
      <c r="Z80" s="16" t="s">
        <v>390</v>
      </c>
      <c r="AA80" s="17" t="n">
        <f aca="false">ROUND(K80*0.12 + I80*0.08 + J80*0.07 + L80*0.06 + M80*0.06 + N80*0.08 + O80*0.06 + R80*0.09 + S80*0.04 + V80*0.13 + W80*0.11 + X80*0.08 + (I80+J80)/2*0.02, 2)</f>
        <v>7.68</v>
      </c>
    </row>
    <row r="81" customFormat="false" ht="15" hidden="false" customHeight="true" outlineLevel="0" collapsed="false">
      <c r="A81" s="18" t="n">
        <v>78</v>
      </c>
      <c r="B81" s="19" t="s">
        <v>197</v>
      </c>
      <c r="C81" s="19" t="s">
        <v>385</v>
      </c>
      <c r="D81" s="19" t="s">
        <v>391</v>
      </c>
      <c r="E81" s="20" t="s">
        <v>392</v>
      </c>
      <c r="F81" s="21" t="s">
        <v>393</v>
      </c>
      <c r="G81" s="19" t="s">
        <v>34</v>
      </c>
      <c r="H81" s="33" t="s">
        <v>389</v>
      </c>
      <c r="I81" s="32" t="n">
        <v>6.5</v>
      </c>
      <c r="J81" s="32" t="n">
        <v>6.5</v>
      </c>
      <c r="K81" s="18" t="n">
        <v>8</v>
      </c>
      <c r="L81" s="18" t="n">
        <v>5</v>
      </c>
      <c r="M81" s="18" t="n">
        <v>5</v>
      </c>
      <c r="N81" s="18" t="n">
        <v>7</v>
      </c>
      <c r="O81" s="18" t="n">
        <v>7</v>
      </c>
      <c r="P81" s="18" t="n">
        <v>2</v>
      </c>
      <c r="Q81" s="22" t="n">
        <v>300</v>
      </c>
      <c r="R81" s="18" t="n">
        <v>7</v>
      </c>
      <c r="S81" s="18" t="n">
        <v>8</v>
      </c>
      <c r="T81" s="19" t="s">
        <v>207</v>
      </c>
      <c r="U81" s="18" t="s">
        <v>208</v>
      </c>
      <c r="V81" s="18" t="n">
        <v>8</v>
      </c>
      <c r="W81" s="18" t="n">
        <v>7</v>
      </c>
      <c r="X81" s="18" t="n">
        <v>8.5</v>
      </c>
      <c r="Y81" s="26" t="s">
        <v>50</v>
      </c>
      <c r="Z81" s="24" t="s">
        <v>51</v>
      </c>
      <c r="AA81" s="25" t="n">
        <f aca="false">ROUND(K81*0.12 + I81*0.08 + J81*0.07 + L81*0.06 + M81*0.06 + N81*0.08 + O81*0.06 + R81*0.09 + S81*0.04 + V81*0.13 + W81*0.11 + X81*0.08 + (I81+J81)/2*0.02, 2)</f>
        <v>7.09</v>
      </c>
    </row>
    <row r="82" customFormat="false" ht="15" hidden="false" customHeight="true" outlineLevel="0" collapsed="false">
      <c r="A82" s="8" t="n">
        <v>79</v>
      </c>
      <c r="B82" s="9" t="s">
        <v>197</v>
      </c>
      <c r="C82" s="9" t="s">
        <v>385</v>
      </c>
      <c r="D82" s="9" t="s">
        <v>394</v>
      </c>
      <c r="E82" s="10" t="s">
        <v>395</v>
      </c>
      <c r="F82" s="11" t="s">
        <v>396</v>
      </c>
      <c r="G82" s="9" t="s">
        <v>214</v>
      </c>
      <c r="H82" s="33" t="s">
        <v>389</v>
      </c>
      <c r="I82" s="32" t="n">
        <v>6.5</v>
      </c>
      <c r="J82" s="32" t="n">
        <v>6.5</v>
      </c>
      <c r="K82" s="8" t="n">
        <v>8</v>
      </c>
      <c r="L82" s="8" t="n">
        <v>6</v>
      </c>
      <c r="M82" s="8" t="n">
        <v>4</v>
      </c>
      <c r="N82" s="8" t="n">
        <v>8</v>
      </c>
      <c r="O82" s="8" t="n">
        <v>7</v>
      </c>
      <c r="P82" s="8" t="n">
        <v>5</v>
      </c>
      <c r="Q82" s="14" t="n">
        <v>350</v>
      </c>
      <c r="R82" s="8" t="n">
        <v>5</v>
      </c>
      <c r="S82" s="8" t="n">
        <v>5</v>
      </c>
      <c r="T82" s="9" t="s">
        <v>108</v>
      </c>
      <c r="U82" s="8" t="s">
        <v>215</v>
      </c>
      <c r="V82" s="8" t="n">
        <v>6.5</v>
      </c>
      <c r="W82" s="8" t="n">
        <v>6</v>
      </c>
      <c r="X82" s="8" t="n">
        <v>8.5</v>
      </c>
      <c r="Y82" s="29" t="s">
        <v>96</v>
      </c>
      <c r="Z82" s="16" t="s">
        <v>220</v>
      </c>
      <c r="AA82" s="17" t="n">
        <f aca="false">ROUND(K82*0.12 + I82*0.08 + J82*0.07 + L82*0.06 + M82*0.06 + N82*0.08 + O82*0.06 + R82*0.09 + S82*0.04 + V82*0.13 + W82*0.11 + X82*0.08 + (I82+J82)/2*0.02, 2)</f>
        <v>6.56</v>
      </c>
    </row>
    <row r="83" customFormat="false" ht="15" hidden="false" customHeight="true" outlineLevel="0" collapsed="false">
      <c r="A83" s="18" t="n">
        <v>80</v>
      </c>
      <c r="B83" s="19" t="s">
        <v>197</v>
      </c>
      <c r="C83" s="19" t="s">
        <v>397</v>
      </c>
      <c r="D83" s="19" t="s">
        <v>398</v>
      </c>
      <c r="E83" s="20" t="s">
        <v>399</v>
      </c>
      <c r="F83" s="21" t="s">
        <v>400</v>
      </c>
      <c r="G83" s="19" t="s">
        <v>34</v>
      </c>
      <c r="H83" s="33" t="s">
        <v>401</v>
      </c>
      <c r="I83" s="30" t="n">
        <v>7.5</v>
      </c>
      <c r="J83" s="30" t="n">
        <v>7.5</v>
      </c>
      <c r="K83" s="18" t="n">
        <v>9</v>
      </c>
      <c r="L83" s="18" t="n">
        <v>5</v>
      </c>
      <c r="M83" s="18" t="n">
        <v>5</v>
      </c>
      <c r="N83" s="18" t="n">
        <v>9</v>
      </c>
      <c r="O83" s="18" t="n">
        <v>9</v>
      </c>
      <c r="P83" s="18" t="n">
        <v>4</v>
      </c>
      <c r="Q83" s="22" t="n">
        <v>250</v>
      </c>
      <c r="R83" s="18" t="n">
        <v>5</v>
      </c>
      <c r="S83" s="18" t="n">
        <v>6</v>
      </c>
      <c r="T83" s="19" t="s">
        <v>207</v>
      </c>
      <c r="U83" s="18" t="s">
        <v>208</v>
      </c>
      <c r="V83" s="18" t="n">
        <v>9.5</v>
      </c>
      <c r="W83" s="18" t="n">
        <v>6.5</v>
      </c>
      <c r="X83" s="18" t="n">
        <v>9.5</v>
      </c>
      <c r="Y83" s="26" t="s">
        <v>50</v>
      </c>
      <c r="Z83" s="24" t="s">
        <v>51</v>
      </c>
      <c r="AA83" s="25" t="n">
        <f aca="false">ROUND(K83*0.12 + I83*0.08 + J83*0.07 + L83*0.06 + M83*0.06 + N83*0.08 + O83*0.06 + R83*0.09 + S83*0.04 + V83*0.13 + W83*0.11 + X83*0.08 + (I83+J83)/2*0.02, 2)</f>
        <v>7.62</v>
      </c>
    </row>
    <row r="84" customFormat="false" ht="15" hidden="false" customHeight="true" outlineLevel="0" collapsed="false">
      <c r="A84" s="8" t="n">
        <v>81</v>
      </c>
      <c r="B84" s="9" t="s">
        <v>197</v>
      </c>
      <c r="C84" s="9" t="s">
        <v>397</v>
      </c>
      <c r="D84" s="9" t="s">
        <v>402</v>
      </c>
      <c r="E84" s="10" t="s">
        <v>403</v>
      </c>
      <c r="F84" s="11" t="s">
        <v>404</v>
      </c>
      <c r="G84" s="9" t="s">
        <v>49</v>
      </c>
      <c r="H84" s="33" t="s">
        <v>401</v>
      </c>
      <c r="I84" s="30" t="n">
        <v>7.5</v>
      </c>
      <c r="J84" s="30" t="n">
        <v>7.5</v>
      </c>
      <c r="K84" s="8" t="n">
        <v>7.8</v>
      </c>
      <c r="L84" s="8" t="n">
        <v>5</v>
      </c>
      <c r="M84" s="8" t="n">
        <v>5</v>
      </c>
      <c r="N84" s="8" t="n">
        <v>7</v>
      </c>
      <c r="O84" s="8" t="n">
        <v>7</v>
      </c>
      <c r="P84" s="8" t="n">
        <v>3</v>
      </c>
      <c r="Q84" s="14" t="n">
        <v>200</v>
      </c>
      <c r="R84" s="8" t="n">
        <v>5</v>
      </c>
      <c r="S84" s="8" t="n">
        <v>7</v>
      </c>
      <c r="T84" s="9" t="s">
        <v>207</v>
      </c>
      <c r="U84" s="8" t="s">
        <v>208</v>
      </c>
      <c r="V84" s="8" t="n">
        <v>7.5</v>
      </c>
      <c r="W84" s="8" t="n">
        <v>6</v>
      </c>
      <c r="X84" s="8" t="n">
        <v>9</v>
      </c>
      <c r="Y84" s="26" t="s">
        <v>50</v>
      </c>
      <c r="Z84" s="16" t="s">
        <v>51</v>
      </c>
      <c r="AA84" s="17" t="n">
        <f aca="false">ROUND(K84*0.12 + I84*0.08 + J84*0.07 + L84*0.06 + M84*0.06 + N84*0.08 + O84*0.06 + R84*0.09 + S84*0.04 + V84*0.13 + W84*0.11 + X84*0.08 + (I84+J84)/2*0.02, 2)</f>
        <v>6.88</v>
      </c>
    </row>
    <row r="85" customFormat="false" ht="15" hidden="false" customHeight="true" outlineLevel="0" collapsed="false">
      <c r="A85" s="18" t="n">
        <v>82</v>
      </c>
      <c r="B85" s="19" t="s">
        <v>197</v>
      </c>
      <c r="C85" s="19" t="s">
        <v>405</v>
      </c>
      <c r="D85" s="19" t="s">
        <v>406</v>
      </c>
      <c r="E85" s="20" t="s">
        <v>407</v>
      </c>
      <c r="F85" s="21" t="s">
        <v>408</v>
      </c>
      <c r="G85" s="19" t="s">
        <v>34</v>
      </c>
      <c r="H85" s="31" t="s">
        <v>307</v>
      </c>
      <c r="I85" s="34" t="n">
        <v>5.5</v>
      </c>
      <c r="J85" s="34" t="n">
        <v>5</v>
      </c>
      <c r="K85" s="18" t="n">
        <v>9.2</v>
      </c>
      <c r="L85" s="18" t="n">
        <v>4</v>
      </c>
      <c r="M85" s="18" t="n">
        <v>4</v>
      </c>
      <c r="N85" s="18" t="n">
        <v>9</v>
      </c>
      <c r="O85" s="18" t="n">
        <v>9</v>
      </c>
      <c r="P85" s="18" t="n">
        <v>6</v>
      </c>
      <c r="Q85" s="22" t="n">
        <v>250</v>
      </c>
      <c r="R85" s="18" t="n">
        <v>4</v>
      </c>
      <c r="S85" s="18" t="n">
        <v>5</v>
      </c>
      <c r="T85" s="19" t="s">
        <v>207</v>
      </c>
      <c r="U85" s="18" t="s">
        <v>208</v>
      </c>
      <c r="V85" s="18" t="n">
        <v>10</v>
      </c>
      <c r="W85" s="18" t="n">
        <v>6</v>
      </c>
      <c r="X85" s="18" t="n">
        <v>9.5</v>
      </c>
      <c r="Y85" s="26" t="s">
        <v>50</v>
      </c>
      <c r="Z85" s="24" t="s">
        <v>409</v>
      </c>
      <c r="AA85" s="25" t="n">
        <f aca="false">ROUND(K85*0.12 + I85*0.08 + J85*0.07 + L85*0.06 + M85*0.06 + N85*0.08 + O85*0.06 + R85*0.09 + S85*0.04 + V85*0.13 + W85*0.11 + X85*0.08 + (I85+J85)/2*0.02, 2)</f>
        <v>7.02</v>
      </c>
    </row>
    <row r="86" customFormat="false" ht="15" hidden="false" customHeight="true" outlineLevel="0" collapsed="false">
      <c r="A86" s="8" t="n">
        <v>83</v>
      </c>
      <c r="B86" s="9" t="s">
        <v>197</v>
      </c>
      <c r="C86" s="9" t="s">
        <v>405</v>
      </c>
      <c r="D86" s="9" t="s">
        <v>410</v>
      </c>
      <c r="E86" s="10" t="s">
        <v>411</v>
      </c>
      <c r="F86" s="11" t="s">
        <v>412</v>
      </c>
      <c r="G86" s="9" t="s">
        <v>49</v>
      </c>
      <c r="H86" s="31" t="s">
        <v>307</v>
      </c>
      <c r="I86" s="34" t="n">
        <v>5.5</v>
      </c>
      <c r="J86" s="34" t="n">
        <v>5</v>
      </c>
      <c r="K86" s="8" t="n">
        <v>9</v>
      </c>
      <c r="L86" s="8" t="n">
        <v>5</v>
      </c>
      <c r="M86" s="8" t="n">
        <v>5</v>
      </c>
      <c r="N86" s="8" t="n">
        <v>8</v>
      </c>
      <c r="O86" s="8" t="n">
        <v>8</v>
      </c>
      <c r="P86" s="8" t="n">
        <v>2</v>
      </c>
      <c r="Q86" s="14" t="n">
        <v>250</v>
      </c>
      <c r="R86" s="8" t="n">
        <v>5</v>
      </c>
      <c r="S86" s="8" t="n">
        <v>7</v>
      </c>
      <c r="T86" s="9" t="s">
        <v>207</v>
      </c>
      <c r="U86" s="8" t="s">
        <v>208</v>
      </c>
      <c r="V86" s="8" t="n">
        <v>9.5</v>
      </c>
      <c r="W86" s="8" t="n">
        <v>7</v>
      </c>
      <c r="X86" s="8" t="n">
        <v>9.5</v>
      </c>
      <c r="Y86" s="26" t="s">
        <v>50</v>
      </c>
      <c r="Z86" s="16" t="s">
        <v>51</v>
      </c>
      <c r="AA86" s="17" t="n">
        <f aca="false">ROUND(K86*0.12 + I86*0.08 + J86*0.07 + L86*0.06 + M86*0.06 + N86*0.08 + O86*0.06 + R86*0.09 + S86*0.04 + V86*0.13 + W86*0.11 + X86*0.08 + (I86+J86)/2*0.02, 2)</f>
        <v>7.19</v>
      </c>
    </row>
    <row r="87" customFormat="false" ht="15" hidden="false" customHeight="true" outlineLevel="0" collapsed="false">
      <c r="A87" s="18" t="n">
        <v>84</v>
      </c>
      <c r="B87" s="19" t="s">
        <v>197</v>
      </c>
      <c r="C87" s="19" t="s">
        <v>413</v>
      </c>
      <c r="D87" s="19" t="s">
        <v>414</v>
      </c>
      <c r="E87" s="20" t="s">
        <v>415</v>
      </c>
      <c r="F87" s="21" t="s">
        <v>416</v>
      </c>
      <c r="G87" s="19" t="s">
        <v>417</v>
      </c>
      <c r="H87" s="12" t="s">
        <v>202</v>
      </c>
      <c r="I87" s="13" t="n">
        <v>9</v>
      </c>
      <c r="J87" s="30" t="n">
        <v>8.5</v>
      </c>
      <c r="K87" s="18" t="n">
        <v>8.3</v>
      </c>
      <c r="L87" s="18" t="n">
        <v>5</v>
      </c>
      <c r="M87" s="18" t="n">
        <v>6</v>
      </c>
      <c r="N87" s="18" t="n">
        <v>7</v>
      </c>
      <c r="O87" s="18" t="n">
        <v>7</v>
      </c>
      <c r="P87" s="18" t="n">
        <v>2</v>
      </c>
      <c r="Q87" s="22" t="n">
        <v>600</v>
      </c>
      <c r="R87" s="18" t="n">
        <v>6</v>
      </c>
      <c r="S87" s="18" t="n">
        <v>8</v>
      </c>
      <c r="T87" s="19" t="s">
        <v>248</v>
      </c>
      <c r="U87" s="19" t="s">
        <v>248</v>
      </c>
      <c r="V87" s="18" t="n">
        <v>8</v>
      </c>
      <c r="W87" s="18" t="n">
        <v>8</v>
      </c>
      <c r="X87" s="18" t="n">
        <v>7</v>
      </c>
      <c r="Y87" s="23" t="s">
        <v>45</v>
      </c>
      <c r="Z87" s="24" t="s">
        <v>46</v>
      </c>
      <c r="AA87" s="25" t="n">
        <f aca="false">ROUND(K87*0.12 + I87*0.08 + J87*0.07 + L87*0.06 + M87*0.06 + N87*0.08 + O87*0.06 + R87*0.09 + S87*0.04 + V87*0.13 + W87*0.11 + X87*0.08 + (I87+J87)/2*0.02, 2)</f>
        <v>7.47</v>
      </c>
    </row>
    <row r="88" customFormat="false" ht="15" hidden="false" customHeight="true" outlineLevel="0" collapsed="false">
      <c r="A88" s="8" t="n">
        <v>85</v>
      </c>
      <c r="B88" s="9" t="s">
        <v>418</v>
      </c>
      <c r="C88" s="9" t="s">
        <v>419</v>
      </c>
      <c r="D88" s="9" t="s">
        <v>420</v>
      </c>
      <c r="E88" s="10" t="s">
        <v>421</v>
      </c>
      <c r="F88" s="11" t="s">
        <v>422</v>
      </c>
      <c r="G88" s="9" t="s">
        <v>187</v>
      </c>
      <c r="H88" s="31" t="s">
        <v>423</v>
      </c>
      <c r="I88" s="30" t="n">
        <v>8.5</v>
      </c>
      <c r="J88" s="30" t="n">
        <v>7.5</v>
      </c>
      <c r="K88" s="8" t="n">
        <v>9.5</v>
      </c>
      <c r="L88" s="8" t="n">
        <v>7</v>
      </c>
      <c r="M88" s="8" t="n">
        <v>7</v>
      </c>
      <c r="N88" s="8" t="n">
        <v>9</v>
      </c>
      <c r="O88" s="8" t="n">
        <v>9</v>
      </c>
      <c r="P88" s="8" t="n">
        <v>3</v>
      </c>
      <c r="Q88" s="14" t="n">
        <v>1200</v>
      </c>
      <c r="R88" s="8" t="n">
        <v>9</v>
      </c>
      <c r="S88" s="8" t="n">
        <v>8</v>
      </c>
      <c r="T88" s="9" t="s">
        <v>43</v>
      </c>
      <c r="U88" s="8" t="s">
        <v>424</v>
      </c>
      <c r="V88" s="8" t="n">
        <v>9</v>
      </c>
      <c r="W88" s="8" t="n">
        <v>10</v>
      </c>
      <c r="X88" s="8" t="n">
        <v>7</v>
      </c>
      <c r="Y88" s="15" t="s">
        <v>38</v>
      </c>
      <c r="Z88" s="16" t="s">
        <v>39</v>
      </c>
      <c r="AA88" s="17" t="n">
        <f aca="false">ROUND(K88*0.12 + I88*0.08 + J88*0.07 + L88*0.06 + M88*0.06 + N88*0.08 + O88*0.06 + R88*0.09 + S88*0.04 + V88*0.13 + W88*0.11 + X88*0.08 + (I88+J88)/2*0.02, 2)</f>
        <v>8.57</v>
      </c>
    </row>
    <row r="89" customFormat="false" ht="15" hidden="false" customHeight="true" outlineLevel="0" collapsed="false">
      <c r="A89" s="18" t="n">
        <v>86</v>
      </c>
      <c r="B89" s="19" t="s">
        <v>418</v>
      </c>
      <c r="C89" s="19" t="s">
        <v>419</v>
      </c>
      <c r="D89" s="19" t="s">
        <v>425</v>
      </c>
      <c r="E89" s="20" t="s">
        <v>426</v>
      </c>
      <c r="F89" s="21" t="s">
        <v>427</v>
      </c>
      <c r="G89" s="19" t="s">
        <v>428</v>
      </c>
      <c r="H89" s="31" t="s">
        <v>423</v>
      </c>
      <c r="I89" s="30" t="n">
        <v>8.5</v>
      </c>
      <c r="J89" s="30" t="n">
        <v>7.5</v>
      </c>
      <c r="K89" s="18" t="n">
        <v>9.3</v>
      </c>
      <c r="L89" s="18" t="n">
        <v>6</v>
      </c>
      <c r="M89" s="18" t="n">
        <v>5</v>
      </c>
      <c r="N89" s="18" t="n">
        <v>9</v>
      </c>
      <c r="O89" s="18" t="n">
        <v>8</v>
      </c>
      <c r="P89" s="18" t="n">
        <v>8</v>
      </c>
      <c r="Q89" s="22" t="n">
        <v>1000</v>
      </c>
      <c r="R89" s="18" t="n">
        <v>7</v>
      </c>
      <c r="S89" s="18" t="n">
        <v>6</v>
      </c>
      <c r="T89" s="19" t="s">
        <v>94</v>
      </c>
      <c r="U89" s="18" t="s">
        <v>429</v>
      </c>
      <c r="V89" s="18" t="n">
        <v>9</v>
      </c>
      <c r="W89" s="18" t="n">
        <v>8</v>
      </c>
      <c r="X89" s="18" t="n">
        <v>7.5</v>
      </c>
      <c r="Y89" s="29" t="s">
        <v>96</v>
      </c>
      <c r="Z89" s="24" t="s">
        <v>124</v>
      </c>
      <c r="AA89" s="25" t="n">
        <f aca="false">ROUND(K89*0.12 + I89*0.08 + J89*0.07 + L89*0.06 + M89*0.06 + N89*0.08 + O89*0.06 + R89*0.09 + S89*0.04 + V89*0.13 + W89*0.11 + X89*0.08 + (I89+J89)/2*0.02, 2)</f>
        <v>7.86</v>
      </c>
    </row>
    <row r="90" customFormat="false" ht="15" hidden="false" customHeight="true" outlineLevel="0" collapsed="false">
      <c r="A90" s="8" t="n">
        <v>87</v>
      </c>
      <c r="B90" s="9" t="s">
        <v>418</v>
      </c>
      <c r="C90" s="9" t="s">
        <v>419</v>
      </c>
      <c r="D90" s="9" t="s">
        <v>430</v>
      </c>
      <c r="E90" s="10" t="s">
        <v>431</v>
      </c>
      <c r="F90" s="11" t="s">
        <v>432</v>
      </c>
      <c r="G90" s="9" t="s">
        <v>433</v>
      </c>
      <c r="H90" s="31" t="s">
        <v>423</v>
      </c>
      <c r="I90" s="30" t="n">
        <v>8.5</v>
      </c>
      <c r="J90" s="30" t="n">
        <v>7.5</v>
      </c>
      <c r="K90" s="8" t="n">
        <v>9.5</v>
      </c>
      <c r="L90" s="8" t="n">
        <v>7</v>
      </c>
      <c r="M90" s="8" t="n">
        <v>4</v>
      </c>
      <c r="N90" s="8" t="n">
        <v>9</v>
      </c>
      <c r="O90" s="8" t="n">
        <v>8</v>
      </c>
      <c r="P90" s="8" t="n">
        <v>6</v>
      </c>
      <c r="Q90" s="14" t="n">
        <v>1500</v>
      </c>
      <c r="R90" s="8" t="n">
        <v>6</v>
      </c>
      <c r="S90" s="8" t="n">
        <v>6</v>
      </c>
      <c r="T90" s="9" t="s">
        <v>341</v>
      </c>
      <c r="U90" s="8" t="s">
        <v>95</v>
      </c>
      <c r="V90" s="8" t="n">
        <v>10</v>
      </c>
      <c r="W90" s="8" t="n">
        <v>8</v>
      </c>
      <c r="X90" s="8" t="n">
        <v>7</v>
      </c>
      <c r="Y90" s="27" t="s">
        <v>67</v>
      </c>
      <c r="Z90" s="16" t="s">
        <v>390</v>
      </c>
      <c r="AA90" s="17" t="n">
        <f aca="false">ROUND(K90*0.12 + I90*0.08 + J90*0.07 + L90*0.06 + M90*0.06 + N90*0.08 + O90*0.06 + R90*0.09 + S90*0.04 + V90*0.13 + W90*0.11 + X90*0.08 + (I90+J90)/2*0.02, 2)</f>
        <v>7.89</v>
      </c>
    </row>
    <row r="91" customFormat="false" ht="15" hidden="false" customHeight="true" outlineLevel="0" collapsed="false">
      <c r="A91" s="18" t="n">
        <v>88</v>
      </c>
      <c r="B91" s="19" t="s">
        <v>418</v>
      </c>
      <c r="C91" s="19" t="s">
        <v>419</v>
      </c>
      <c r="D91" s="19" t="s">
        <v>434</v>
      </c>
      <c r="E91" s="20" t="s">
        <v>435</v>
      </c>
      <c r="F91" s="21" t="s">
        <v>436</v>
      </c>
      <c r="G91" s="19" t="s">
        <v>437</v>
      </c>
      <c r="H91" s="31" t="s">
        <v>423</v>
      </c>
      <c r="I91" s="30" t="n">
        <v>8.5</v>
      </c>
      <c r="J91" s="30" t="n">
        <v>7.5</v>
      </c>
      <c r="K91" s="18" t="n">
        <v>9.2</v>
      </c>
      <c r="L91" s="18" t="n">
        <v>5</v>
      </c>
      <c r="M91" s="18" t="n">
        <v>4</v>
      </c>
      <c r="N91" s="18" t="n">
        <v>8</v>
      </c>
      <c r="O91" s="18" t="n">
        <v>8</v>
      </c>
      <c r="P91" s="18" t="n">
        <v>4</v>
      </c>
      <c r="Q91" s="22" t="n">
        <v>1200</v>
      </c>
      <c r="R91" s="18" t="n">
        <v>4</v>
      </c>
      <c r="S91" s="18" t="n">
        <v>5</v>
      </c>
      <c r="T91" s="19" t="s">
        <v>146</v>
      </c>
      <c r="U91" s="18" t="s">
        <v>163</v>
      </c>
      <c r="V91" s="18" t="n">
        <v>10</v>
      </c>
      <c r="W91" s="18" t="n">
        <v>7</v>
      </c>
      <c r="X91" s="18" t="n">
        <v>7</v>
      </c>
      <c r="Y91" s="29" t="s">
        <v>96</v>
      </c>
      <c r="Z91" s="24" t="s">
        <v>220</v>
      </c>
      <c r="AA91" s="25" t="n">
        <f aca="false">ROUND(K91*0.12 + I91*0.08 + J91*0.07 + L91*0.06 + M91*0.06 + N91*0.08 + O91*0.06 + R91*0.09 + S91*0.04 + V91*0.13 + W91*0.11 + X91*0.08 + (I91+J91)/2*0.02, 2)</f>
        <v>7.32</v>
      </c>
    </row>
    <row r="92" customFormat="false" ht="15" hidden="false" customHeight="true" outlineLevel="0" collapsed="false">
      <c r="A92" s="8" t="n">
        <v>89</v>
      </c>
      <c r="B92" s="9" t="s">
        <v>418</v>
      </c>
      <c r="C92" s="9" t="s">
        <v>419</v>
      </c>
      <c r="D92" s="9" t="s">
        <v>438</v>
      </c>
      <c r="E92" s="10" t="s">
        <v>439</v>
      </c>
      <c r="F92" s="11" t="s">
        <v>440</v>
      </c>
      <c r="G92" s="9" t="s">
        <v>328</v>
      </c>
      <c r="H92" s="31" t="s">
        <v>423</v>
      </c>
      <c r="I92" s="30" t="n">
        <v>8.5</v>
      </c>
      <c r="J92" s="30" t="n">
        <v>7.5</v>
      </c>
      <c r="K92" s="8" t="n">
        <v>9</v>
      </c>
      <c r="L92" s="8" t="n">
        <v>5</v>
      </c>
      <c r="M92" s="8" t="n">
        <v>4</v>
      </c>
      <c r="N92" s="8" t="n">
        <v>8</v>
      </c>
      <c r="O92" s="8" t="n">
        <v>8</v>
      </c>
      <c r="P92" s="8" t="n">
        <v>7</v>
      </c>
      <c r="Q92" s="14" t="n">
        <v>1000</v>
      </c>
      <c r="R92" s="8" t="n">
        <v>5</v>
      </c>
      <c r="S92" s="8" t="n">
        <v>5</v>
      </c>
      <c r="T92" s="9" t="s">
        <v>65</v>
      </c>
      <c r="U92" s="8" t="s">
        <v>277</v>
      </c>
      <c r="V92" s="8" t="n">
        <v>9</v>
      </c>
      <c r="W92" s="8" t="n">
        <v>7</v>
      </c>
      <c r="X92" s="8" t="n">
        <v>7.5</v>
      </c>
      <c r="Y92" s="29" t="s">
        <v>96</v>
      </c>
      <c r="Z92" s="16" t="s">
        <v>441</v>
      </c>
      <c r="AA92" s="17" t="n">
        <f aca="false">ROUND(K92*0.12 + I92*0.08 + J92*0.07 + L92*0.06 + M92*0.06 + N92*0.08 + O92*0.06 + R92*0.09 + S92*0.04 + V92*0.13 + W92*0.11 + X92*0.08 + (I92+J92)/2*0.02, 2)</f>
        <v>7.3</v>
      </c>
    </row>
    <row r="93" customFormat="false" ht="15" hidden="false" customHeight="true" outlineLevel="0" collapsed="false">
      <c r="A93" s="18" t="n">
        <v>90</v>
      </c>
      <c r="B93" s="19" t="s">
        <v>418</v>
      </c>
      <c r="C93" s="19" t="s">
        <v>419</v>
      </c>
      <c r="D93" s="19" t="s">
        <v>442</v>
      </c>
      <c r="E93" s="20" t="s">
        <v>443</v>
      </c>
      <c r="F93" s="21" t="s">
        <v>444</v>
      </c>
      <c r="G93" s="19" t="s">
        <v>344</v>
      </c>
      <c r="H93" s="31" t="s">
        <v>423</v>
      </c>
      <c r="I93" s="30" t="n">
        <v>8.5</v>
      </c>
      <c r="J93" s="30" t="n">
        <v>7.5</v>
      </c>
      <c r="K93" s="18" t="n">
        <v>8.5</v>
      </c>
      <c r="L93" s="18" t="n">
        <v>8</v>
      </c>
      <c r="M93" s="18" t="n">
        <v>6</v>
      </c>
      <c r="N93" s="18" t="n">
        <v>8</v>
      </c>
      <c r="O93" s="18" t="n">
        <v>7</v>
      </c>
      <c r="P93" s="18" t="n">
        <v>4</v>
      </c>
      <c r="Q93" s="22" t="n">
        <v>900</v>
      </c>
      <c r="R93" s="18" t="n">
        <v>7</v>
      </c>
      <c r="S93" s="18" t="n">
        <v>7</v>
      </c>
      <c r="T93" s="19" t="s">
        <v>114</v>
      </c>
      <c r="U93" s="18" t="s">
        <v>445</v>
      </c>
      <c r="V93" s="18" t="n">
        <v>7</v>
      </c>
      <c r="W93" s="18" t="n">
        <v>9</v>
      </c>
      <c r="X93" s="18" t="n">
        <v>7.5</v>
      </c>
      <c r="Y93" s="23" t="s">
        <v>56</v>
      </c>
      <c r="Z93" s="24" t="s">
        <v>57</v>
      </c>
      <c r="AA93" s="25" t="n">
        <f aca="false">ROUND(K93*0.12 + I93*0.08 + J93*0.07 + L93*0.06 + M93*0.06 + N93*0.08 + O93*0.06 + R93*0.09 + S93*0.04 + V93*0.13 + W93*0.11 + X93*0.08 + (I93+J93)/2*0.02, 2)</f>
        <v>7.7</v>
      </c>
    </row>
    <row r="94" customFormat="false" ht="15" hidden="false" customHeight="true" outlineLevel="0" collapsed="false">
      <c r="A94" s="8" t="n">
        <v>91</v>
      </c>
      <c r="B94" s="9" t="s">
        <v>418</v>
      </c>
      <c r="C94" s="9" t="s">
        <v>419</v>
      </c>
      <c r="D94" s="9" t="s">
        <v>446</v>
      </c>
      <c r="E94" s="10" t="s">
        <v>447</v>
      </c>
      <c r="F94" s="11" t="s">
        <v>448</v>
      </c>
      <c r="G94" s="9" t="s">
        <v>449</v>
      </c>
      <c r="H94" s="31" t="s">
        <v>423</v>
      </c>
      <c r="I94" s="30" t="n">
        <v>8.5</v>
      </c>
      <c r="J94" s="30" t="n">
        <v>7.5</v>
      </c>
      <c r="K94" s="8" t="n">
        <v>8.8</v>
      </c>
      <c r="L94" s="8" t="n">
        <v>5</v>
      </c>
      <c r="M94" s="8" t="n">
        <v>6</v>
      </c>
      <c r="N94" s="8" t="n">
        <v>9</v>
      </c>
      <c r="O94" s="8" t="n">
        <v>7</v>
      </c>
      <c r="P94" s="8" t="n">
        <v>4</v>
      </c>
      <c r="Q94" s="14" t="n">
        <v>1000</v>
      </c>
      <c r="R94" s="8" t="n">
        <v>6</v>
      </c>
      <c r="S94" s="8" t="n">
        <v>7</v>
      </c>
      <c r="T94" s="9" t="s">
        <v>122</v>
      </c>
      <c r="U94" s="8" t="s">
        <v>285</v>
      </c>
      <c r="V94" s="8" t="n">
        <v>8</v>
      </c>
      <c r="W94" s="8" t="n">
        <v>8</v>
      </c>
      <c r="X94" s="8" t="n">
        <v>7.5</v>
      </c>
      <c r="Y94" s="26" t="s">
        <v>50</v>
      </c>
      <c r="Z94" s="16" t="s">
        <v>168</v>
      </c>
      <c r="AA94" s="17" t="n">
        <f aca="false">ROUND(K94*0.12 + I94*0.08 + J94*0.07 + L94*0.06 + M94*0.06 + N94*0.08 + O94*0.06 + R94*0.09 + S94*0.04 + V94*0.13 + W94*0.11 + X94*0.08 + (I94+J94)/2*0.02, 2)</f>
        <v>7.56</v>
      </c>
    </row>
    <row r="95" customFormat="false" ht="15" hidden="false" customHeight="true" outlineLevel="0" collapsed="false">
      <c r="A95" s="18" t="n">
        <v>92</v>
      </c>
      <c r="B95" s="19" t="s">
        <v>418</v>
      </c>
      <c r="C95" s="19" t="s">
        <v>419</v>
      </c>
      <c r="D95" s="19" t="s">
        <v>450</v>
      </c>
      <c r="E95" s="20" t="s">
        <v>451</v>
      </c>
      <c r="F95" s="21" t="s">
        <v>452</v>
      </c>
      <c r="G95" s="19" t="s">
        <v>453</v>
      </c>
      <c r="H95" s="31" t="s">
        <v>423</v>
      </c>
      <c r="I95" s="30" t="n">
        <v>8.5</v>
      </c>
      <c r="J95" s="30" t="n">
        <v>7.5</v>
      </c>
      <c r="K95" s="18" t="n">
        <v>8.5</v>
      </c>
      <c r="L95" s="18" t="n">
        <v>6</v>
      </c>
      <c r="M95" s="18" t="n">
        <v>7</v>
      </c>
      <c r="N95" s="18" t="n">
        <v>7</v>
      </c>
      <c r="O95" s="18" t="n">
        <v>8</v>
      </c>
      <c r="P95" s="18" t="n">
        <v>3</v>
      </c>
      <c r="Q95" s="22" t="n">
        <v>800</v>
      </c>
      <c r="R95" s="18" t="n">
        <v>7</v>
      </c>
      <c r="S95" s="18" t="n">
        <v>8</v>
      </c>
      <c r="T95" s="19" t="s">
        <v>43</v>
      </c>
      <c r="U95" s="18" t="s">
        <v>424</v>
      </c>
      <c r="V95" s="18" t="n">
        <v>8</v>
      </c>
      <c r="W95" s="18" t="n">
        <v>9</v>
      </c>
      <c r="X95" s="18" t="n">
        <v>8.5</v>
      </c>
      <c r="Y95" s="23" t="s">
        <v>45</v>
      </c>
      <c r="Z95" s="24" t="s">
        <v>46</v>
      </c>
      <c r="AA95" s="25" t="n">
        <f aca="false">ROUND(K95*0.12 + I95*0.08 + J95*0.07 + L95*0.06 + M95*0.06 + N95*0.08 + O95*0.06 + R95*0.09 + S95*0.04 + V95*0.13 + W95*0.11 + X95*0.08 + (I95+J95)/2*0.02, 2)</f>
        <v>7.87</v>
      </c>
    </row>
    <row r="96" customFormat="false" ht="15" hidden="false" customHeight="true" outlineLevel="0" collapsed="false">
      <c r="A96" s="8" t="n">
        <v>93</v>
      </c>
      <c r="B96" s="9" t="s">
        <v>418</v>
      </c>
      <c r="C96" s="9" t="s">
        <v>419</v>
      </c>
      <c r="D96" s="9" t="s">
        <v>454</v>
      </c>
      <c r="E96" s="10" t="s">
        <v>455</v>
      </c>
      <c r="F96" s="11" t="s">
        <v>456</v>
      </c>
      <c r="G96" s="9" t="s">
        <v>354</v>
      </c>
      <c r="H96" s="31" t="s">
        <v>423</v>
      </c>
      <c r="I96" s="30" t="n">
        <v>8.5</v>
      </c>
      <c r="J96" s="30" t="n">
        <v>7.5</v>
      </c>
      <c r="K96" s="8" t="n">
        <v>8.8</v>
      </c>
      <c r="L96" s="8" t="n">
        <v>5</v>
      </c>
      <c r="M96" s="8" t="n">
        <v>3</v>
      </c>
      <c r="N96" s="8" t="n">
        <v>7</v>
      </c>
      <c r="O96" s="8" t="n">
        <v>7</v>
      </c>
      <c r="P96" s="8" t="n">
        <v>8</v>
      </c>
      <c r="Q96" s="14" t="n">
        <v>1000</v>
      </c>
      <c r="R96" s="8" t="n">
        <v>4</v>
      </c>
      <c r="S96" s="8" t="n">
        <v>4</v>
      </c>
      <c r="T96" s="9" t="s">
        <v>341</v>
      </c>
      <c r="U96" s="8" t="s">
        <v>457</v>
      </c>
      <c r="V96" s="8" t="n">
        <v>9.5</v>
      </c>
      <c r="W96" s="8" t="n">
        <v>6.5</v>
      </c>
      <c r="X96" s="8" t="n">
        <v>7</v>
      </c>
      <c r="Y96" s="26" t="s">
        <v>50</v>
      </c>
      <c r="Z96" s="16" t="s">
        <v>458</v>
      </c>
      <c r="AA96" s="17" t="n">
        <f aca="false">ROUND(K96*0.12 + I96*0.08 + J96*0.07 + L96*0.06 + M96*0.06 + N96*0.08 + O96*0.06 + R96*0.09 + S96*0.04 + V96*0.13 + W96*0.11 + X96*0.08 + (I96+J96)/2*0.02, 2)</f>
        <v>6.91</v>
      </c>
    </row>
    <row r="97" customFormat="false" ht="15" hidden="false" customHeight="true" outlineLevel="0" collapsed="false">
      <c r="A97" s="18" t="n">
        <v>94</v>
      </c>
      <c r="B97" s="19" t="s">
        <v>418</v>
      </c>
      <c r="C97" s="19" t="s">
        <v>419</v>
      </c>
      <c r="D97" s="19" t="s">
        <v>459</v>
      </c>
      <c r="E97" s="20" t="s">
        <v>460</v>
      </c>
      <c r="F97" s="21" t="s">
        <v>461</v>
      </c>
      <c r="G97" s="19" t="s">
        <v>462</v>
      </c>
      <c r="H97" s="31" t="s">
        <v>423</v>
      </c>
      <c r="I97" s="30" t="n">
        <v>8.5</v>
      </c>
      <c r="J97" s="30" t="n">
        <v>7.5</v>
      </c>
      <c r="K97" s="18" t="n">
        <v>8.8</v>
      </c>
      <c r="L97" s="18" t="n">
        <v>7</v>
      </c>
      <c r="M97" s="18" t="n">
        <v>5</v>
      </c>
      <c r="N97" s="18" t="n">
        <v>8</v>
      </c>
      <c r="O97" s="18" t="n">
        <v>7</v>
      </c>
      <c r="P97" s="18" t="n">
        <v>5</v>
      </c>
      <c r="Q97" s="22" t="n">
        <v>1000</v>
      </c>
      <c r="R97" s="18" t="n">
        <v>6</v>
      </c>
      <c r="S97" s="18" t="n">
        <v>7</v>
      </c>
      <c r="T97" s="19" t="s">
        <v>65</v>
      </c>
      <c r="U97" s="18" t="s">
        <v>103</v>
      </c>
      <c r="V97" s="18" t="n">
        <v>8</v>
      </c>
      <c r="W97" s="18" t="n">
        <v>8</v>
      </c>
      <c r="X97" s="18" t="n">
        <v>7.5</v>
      </c>
      <c r="Y97" s="29" t="s">
        <v>96</v>
      </c>
      <c r="Z97" s="24" t="s">
        <v>124</v>
      </c>
      <c r="AA97" s="25" t="n">
        <f aca="false">ROUND(K97*0.12 + I97*0.08 + J97*0.07 + L97*0.06 + M97*0.06 + N97*0.08 + O97*0.06 + R97*0.09 + S97*0.04 + V97*0.13 + W97*0.11 + X97*0.08 + (I97+J97)/2*0.02, 2)</f>
        <v>7.54</v>
      </c>
    </row>
    <row r="98" customFormat="false" ht="15" hidden="false" customHeight="true" outlineLevel="0" collapsed="false">
      <c r="A98" s="8" t="n">
        <v>95</v>
      </c>
      <c r="B98" s="9" t="s">
        <v>418</v>
      </c>
      <c r="C98" s="9" t="s">
        <v>419</v>
      </c>
      <c r="D98" s="9" t="s">
        <v>420</v>
      </c>
      <c r="E98" s="10" t="s">
        <v>463</v>
      </c>
      <c r="F98" s="11" t="s">
        <v>464</v>
      </c>
      <c r="G98" s="9" t="s">
        <v>64</v>
      </c>
      <c r="H98" s="31" t="s">
        <v>423</v>
      </c>
      <c r="I98" s="30" t="n">
        <v>8.5</v>
      </c>
      <c r="J98" s="30" t="n">
        <v>7.5</v>
      </c>
      <c r="K98" s="8" t="n">
        <v>8.8</v>
      </c>
      <c r="L98" s="8" t="n">
        <v>6</v>
      </c>
      <c r="M98" s="8" t="n">
        <v>5</v>
      </c>
      <c r="N98" s="8" t="n">
        <v>8</v>
      </c>
      <c r="O98" s="8" t="n">
        <v>8</v>
      </c>
      <c r="P98" s="8" t="n">
        <v>6</v>
      </c>
      <c r="Q98" s="14" t="n">
        <v>900</v>
      </c>
      <c r="R98" s="8" t="n">
        <v>8</v>
      </c>
      <c r="S98" s="8" t="n">
        <v>7</v>
      </c>
      <c r="T98" s="9" t="s">
        <v>43</v>
      </c>
      <c r="U98" s="8" t="s">
        <v>424</v>
      </c>
      <c r="V98" s="8" t="n">
        <v>8.5</v>
      </c>
      <c r="W98" s="8" t="n">
        <v>8</v>
      </c>
      <c r="X98" s="8" t="n">
        <v>8</v>
      </c>
      <c r="Y98" s="29" t="s">
        <v>96</v>
      </c>
      <c r="Z98" s="16" t="s">
        <v>124</v>
      </c>
      <c r="AA98" s="17" t="n">
        <f aca="false">ROUND(K98*0.12 + I98*0.08 + J98*0.07 + L98*0.06 + M98*0.06 + N98*0.08 + O98*0.06 + R98*0.09 + S98*0.04 + V98*0.13 + W98*0.11 + X98*0.08 + (I98+J98)/2*0.02, 2)</f>
        <v>7.83</v>
      </c>
    </row>
    <row r="99" customFormat="false" ht="15" hidden="false" customHeight="true" outlineLevel="0" collapsed="false">
      <c r="A99" s="18" t="n">
        <v>96</v>
      </c>
      <c r="B99" s="19" t="s">
        <v>418</v>
      </c>
      <c r="C99" s="19" t="s">
        <v>419</v>
      </c>
      <c r="D99" s="19" t="s">
        <v>465</v>
      </c>
      <c r="E99" s="20" t="s">
        <v>466</v>
      </c>
      <c r="F99" s="21" t="s">
        <v>467</v>
      </c>
      <c r="G99" s="19" t="s">
        <v>468</v>
      </c>
      <c r="H99" s="31" t="s">
        <v>423</v>
      </c>
      <c r="I99" s="30" t="n">
        <v>8.5</v>
      </c>
      <c r="J99" s="30" t="n">
        <v>7.5</v>
      </c>
      <c r="K99" s="18" t="n">
        <v>9.5</v>
      </c>
      <c r="L99" s="18" t="n">
        <v>6</v>
      </c>
      <c r="M99" s="18" t="n">
        <v>3</v>
      </c>
      <c r="N99" s="18" t="n">
        <v>10</v>
      </c>
      <c r="O99" s="18" t="n">
        <v>7</v>
      </c>
      <c r="P99" s="18" t="n">
        <v>5</v>
      </c>
      <c r="Q99" s="22" t="n">
        <v>1500</v>
      </c>
      <c r="R99" s="18" t="n">
        <v>5</v>
      </c>
      <c r="S99" s="18" t="n">
        <v>5</v>
      </c>
      <c r="T99" s="19" t="s">
        <v>341</v>
      </c>
      <c r="U99" s="18" t="s">
        <v>457</v>
      </c>
      <c r="V99" s="18" t="n">
        <v>9</v>
      </c>
      <c r="W99" s="18" t="n">
        <v>7</v>
      </c>
      <c r="X99" s="18" t="n">
        <v>7</v>
      </c>
      <c r="Y99" s="26" t="s">
        <v>50</v>
      </c>
      <c r="Z99" s="24" t="s">
        <v>469</v>
      </c>
      <c r="AA99" s="25" t="n">
        <f aca="false">ROUND(K99*0.12 + I99*0.08 + J99*0.07 + L99*0.06 + M99*0.06 + N99*0.08 + O99*0.06 + R99*0.09 + S99*0.04 + V99*0.13 + W99*0.11 + X99*0.08 + (I99+J99)/2*0.02, 2)</f>
        <v>7.42</v>
      </c>
    </row>
    <row r="100" customFormat="false" ht="15" hidden="false" customHeight="true" outlineLevel="0" collapsed="false">
      <c r="A100" s="8" t="n">
        <v>97</v>
      </c>
      <c r="B100" s="9" t="s">
        <v>418</v>
      </c>
      <c r="C100" s="9" t="s">
        <v>470</v>
      </c>
      <c r="D100" s="9" t="s">
        <v>471</v>
      </c>
      <c r="E100" s="10" t="s">
        <v>472</v>
      </c>
      <c r="F100" s="11" t="s">
        <v>473</v>
      </c>
      <c r="G100" s="9" t="s">
        <v>328</v>
      </c>
      <c r="H100" s="31" t="s">
        <v>474</v>
      </c>
      <c r="I100" s="13" t="n">
        <v>9</v>
      </c>
      <c r="J100" s="30" t="n">
        <v>8.5</v>
      </c>
      <c r="K100" s="8" t="n">
        <v>9.5</v>
      </c>
      <c r="L100" s="8" t="n">
        <v>6</v>
      </c>
      <c r="M100" s="8" t="n">
        <v>4</v>
      </c>
      <c r="N100" s="8" t="n">
        <v>10</v>
      </c>
      <c r="O100" s="8" t="n">
        <v>8</v>
      </c>
      <c r="P100" s="8" t="n">
        <v>8</v>
      </c>
      <c r="Q100" s="14" t="n">
        <v>1200</v>
      </c>
      <c r="R100" s="8" t="n">
        <v>6</v>
      </c>
      <c r="S100" s="8" t="n">
        <v>6</v>
      </c>
      <c r="T100" s="9" t="s">
        <v>94</v>
      </c>
      <c r="U100" s="8" t="s">
        <v>215</v>
      </c>
      <c r="V100" s="8" t="n">
        <v>10</v>
      </c>
      <c r="W100" s="8" t="n">
        <v>9</v>
      </c>
      <c r="X100" s="8" t="n">
        <v>7.5</v>
      </c>
      <c r="Y100" s="27" t="s">
        <v>67</v>
      </c>
      <c r="Z100" s="16" t="s">
        <v>390</v>
      </c>
      <c r="AA100" s="17" t="n">
        <f aca="false">ROUND(K100*0.12 + I100*0.08 + J100*0.07 + L100*0.06 + M100*0.06 + N100*0.08 + O100*0.06 + R100*0.09 + S100*0.04 + V100*0.13 + W100*0.11 + X100*0.08 + (I100+J100)/2*0.02, 2)</f>
        <v>8.18</v>
      </c>
    </row>
    <row r="101" customFormat="false" ht="15" hidden="false" customHeight="true" outlineLevel="0" collapsed="false">
      <c r="A101" s="18" t="n">
        <v>98</v>
      </c>
      <c r="B101" s="19" t="s">
        <v>418</v>
      </c>
      <c r="C101" s="19" t="s">
        <v>470</v>
      </c>
      <c r="D101" s="19" t="s">
        <v>475</v>
      </c>
      <c r="E101" s="20" t="s">
        <v>476</v>
      </c>
      <c r="F101" s="21" t="s">
        <v>477</v>
      </c>
      <c r="G101" s="19" t="s">
        <v>478</v>
      </c>
      <c r="H101" s="31" t="s">
        <v>474</v>
      </c>
      <c r="I101" s="13" t="n">
        <v>9</v>
      </c>
      <c r="J101" s="30" t="n">
        <v>8.5</v>
      </c>
      <c r="K101" s="18" t="n">
        <v>8.8</v>
      </c>
      <c r="L101" s="18" t="n">
        <v>8</v>
      </c>
      <c r="M101" s="18" t="n">
        <v>6</v>
      </c>
      <c r="N101" s="18" t="n">
        <v>7</v>
      </c>
      <c r="O101" s="18" t="n">
        <v>7</v>
      </c>
      <c r="P101" s="18" t="n">
        <v>4</v>
      </c>
      <c r="Q101" s="22" t="n">
        <v>900</v>
      </c>
      <c r="R101" s="18" t="n">
        <v>7</v>
      </c>
      <c r="S101" s="18" t="n">
        <v>7</v>
      </c>
      <c r="T101" s="19" t="s">
        <v>36</v>
      </c>
      <c r="U101" s="19" t="s">
        <v>248</v>
      </c>
      <c r="V101" s="18" t="n">
        <v>8.5</v>
      </c>
      <c r="W101" s="18" t="n">
        <v>8.5</v>
      </c>
      <c r="X101" s="18" t="n">
        <v>8</v>
      </c>
      <c r="Y101" s="23" t="s">
        <v>56</v>
      </c>
      <c r="Z101" s="24" t="s">
        <v>57</v>
      </c>
      <c r="AA101" s="25" t="n">
        <f aca="false">ROUND(K101*0.12 + I101*0.08 + J101*0.07 + L101*0.06 + M101*0.06 + N101*0.08 + O101*0.06 + R101*0.09 + S101*0.04 + V101*0.13 + W101*0.11 + X101*0.08 + (I101+J101)/2*0.02, 2)</f>
        <v>7.96</v>
      </c>
    </row>
    <row r="102" customFormat="false" ht="15" hidden="false" customHeight="true" outlineLevel="0" collapsed="false">
      <c r="A102" s="8" t="n">
        <v>99</v>
      </c>
      <c r="B102" s="9" t="s">
        <v>418</v>
      </c>
      <c r="C102" s="9" t="s">
        <v>470</v>
      </c>
      <c r="D102" s="9" t="s">
        <v>479</v>
      </c>
      <c r="E102" s="10" t="s">
        <v>480</v>
      </c>
      <c r="F102" s="11" t="s">
        <v>481</v>
      </c>
      <c r="G102" s="9" t="s">
        <v>482</v>
      </c>
      <c r="H102" s="31" t="s">
        <v>474</v>
      </c>
      <c r="I102" s="13" t="n">
        <v>9</v>
      </c>
      <c r="J102" s="30" t="n">
        <v>8.5</v>
      </c>
      <c r="K102" s="8" t="n">
        <v>8.5</v>
      </c>
      <c r="L102" s="8" t="n">
        <v>6</v>
      </c>
      <c r="M102" s="8" t="n">
        <v>6</v>
      </c>
      <c r="N102" s="8" t="n">
        <v>9</v>
      </c>
      <c r="O102" s="8" t="n">
        <v>7</v>
      </c>
      <c r="P102" s="8" t="n">
        <v>4</v>
      </c>
      <c r="Q102" s="14" t="n">
        <v>1000</v>
      </c>
      <c r="R102" s="8" t="n">
        <v>7</v>
      </c>
      <c r="S102" s="8" t="n">
        <v>7</v>
      </c>
      <c r="T102" s="9" t="s">
        <v>65</v>
      </c>
      <c r="U102" s="8" t="s">
        <v>203</v>
      </c>
      <c r="V102" s="8" t="n">
        <v>7.5</v>
      </c>
      <c r="W102" s="8" t="n">
        <v>8</v>
      </c>
      <c r="X102" s="8" t="n">
        <v>7.5</v>
      </c>
      <c r="Y102" s="26" t="s">
        <v>50</v>
      </c>
      <c r="Z102" s="16" t="s">
        <v>168</v>
      </c>
      <c r="AA102" s="17" t="n">
        <f aca="false">ROUND(K102*0.12 + I102*0.08 + J102*0.07 + L102*0.06 + M102*0.06 + N102*0.08 + O102*0.06 + R102*0.09 + S102*0.04 + V102*0.13 + W102*0.11 + X102*0.08 + (I102+J102)/2*0.02, 2)</f>
        <v>7.74</v>
      </c>
    </row>
    <row r="103" customFormat="false" ht="15" hidden="false" customHeight="true" outlineLevel="0" collapsed="false">
      <c r="A103" s="18" t="n">
        <v>100</v>
      </c>
      <c r="B103" s="19" t="s">
        <v>418</v>
      </c>
      <c r="C103" s="19" t="s">
        <v>470</v>
      </c>
      <c r="D103" s="19" t="s">
        <v>483</v>
      </c>
      <c r="E103" s="20" t="s">
        <v>484</v>
      </c>
      <c r="F103" s="21" t="s">
        <v>485</v>
      </c>
      <c r="G103" s="19" t="s">
        <v>64</v>
      </c>
      <c r="H103" s="31" t="s">
        <v>474</v>
      </c>
      <c r="I103" s="13" t="n">
        <v>9</v>
      </c>
      <c r="J103" s="30" t="n">
        <v>8.5</v>
      </c>
      <c r="K103" s="18" t="n">
        <v>9.3</v>
      </c>
      <c r="L103" s="18" t="n">
        <v>4</v>
      </c>
      <c r="M103" s="18" t="n">
        <v>3</v>
      </c>
      <c r="N103" s="18" t="n">
        <v>9</v>
      </c>
      <c r="O103" s="18" t="n">
        <v>8</v>
      </c>
      <c r="P103" s="18" t="n">
        <v>7</v>
      </c>
      <c r="Q103" s="22" t="n">
        <v>1000</v>
      </c>
      <c r="R103" s="18" t="n">
        <v>5</v>
      </c>
      <c r="S103" s="18" t="n">
        <v>5</v>
      </c>
      <c r="T103" s="19" t="s">
        <v>65</v>
      </c>
      <c r="U103" s="18" t="s">
        <v>203</v>
      </c>
      <c r="V103" s="18" t="n">
        <v>9.5</v>
      </c>
      <c r="W103" s="18" t="n">
        <v>7.5</v>
      </c>
      <c r="X103" s="18" t="n">
        <v>7.5</v>
      </c>
      <c r="Y103" s="27" t="s">
        <v>67</v>
      </c>
      <c r="Z103" s="24" t="s">
        <v>486</v>
      </c>
      <c r="AA103" s="25" t="n">
        <f aca="false">ROUND(K103*0.12 + I103*0.08 + J103*0.07 + L103*0.06 + M103*0.06 + N103*0.08 + O103*0.06 + R103*0.09 + S103*0.04 + V103*0.13 + W103*0.11 + X103*0.08 + (I103+J103)/2*0.02, 2)</f>
        <v>7.54</v>
      </c>
    </row>
    <row r="104" customFormat="false" ht="15" hidden="false" customHeight="true" outlineLevel="0" collapsed="false">
      <c r="A104" s="8" t="n">
        <v>101</v>
      </c>
      <c r="B104" s="9" t="s">
        <v>418</v>
      </c>
      <c r="C104" s="9" t="s">
        <v>470</v>
      </c>
      <c r="D104" s="9" t="s">
        <v>483</v>
      </c>
      <c r="E104" s="10" t="s">
        <v>487</v>
      </c>
      <c r="F104" s="11" t="s">
        <v>488</v>
      </c>
      <c r="G104" s="9" t="s">
        <v>489</v>
      </c>
      <c r="H104" s="31" t="s">
        <v>474</v>
      </c>
      <c r="I104" s="13" t="n">
        <v>9</v>
      </c>
      <c r="J104" s="30" t="n">
        <v>8.5</v>
      </c>
      <c r="K104" s="8" t="n">
        <v>9.3</v>
      </c>
      <c r="L104" s="8" t="n">
        <v>6</v>
      </c>
      <c r="M104" s="8" t="n">
        <v>5</v>
      </c>
      <c r="N104" s="8" t="n">
        <v>10</v>
      </c>
      <c r="O104" s="8" t="n">
        <v>8</v>
      </c>
      <c r="P104" s="8" t="n">
        <v>4</v>
      </c>
      <c r="Q104" s="14" t="n">
        <v>1000</v>
      </c>
      <c r="R104" s="8" t="n">
        <v>5</v>
      </c>
      <c r="S104" s="8" t="n">
        <v>6</v>
      </c>
      <c r="T104" s="9" t="s">
        <v>94</v>
      </c>
      <c r="U104" s="8" t="s">
        <v>215</v>
      </c>
      <c r="V104" s="8" t="n">
        <v>9</v>
      </c>
      <c r="W104" s="8" t="n">
        <v>7.5</v>
      </c>
      <c r="X104" s="8" t="n">
        <v>7.5</v>
      </c>
      <c r="Y104" s="26" t="s">
        <v>50</v>
      </c>
      <c r="Z104" s="16" t="s">
        <v>51</v>
      </c>
      <c r="AA104" s="17" t="n">
        <f aca="false">ROUND(K104*0.12 + I104*0.08 + J104*0.07 + L104*0.06 + M104*0.06 + N104*0.08 + O104*0.06 + R104*0.09 + S104*0.04 + V104*0.13 + W104*0.11 + X104*0.08 + (I104+J104)/2*0.02, 2)</f>
        <v>7.83</v>
      </c>
    </row>
    <row r="105" customFormat="false" ht="15" hidden="false" customHeight="true" outlineLevel="0" collapsed="false">
      <c r="A105" s="18" t="n">
        <v>102</v>
      </c>
      <c r="B105" s="19" t="s">
        <v>418</v>
      </c>
      <c r="C105" s="19" t="s">
        <v>470</v>
      </c>
      <c r="D105" s="19" t="s">
        <v>490</v>
      </c>
      <c r="E105" s="20" t="s">
        <v>491</v>
      </c>
      <c r="F105" s="21" t="s">
        <v>492</v>
      </c>
      <c r="G105" s="19" t="s">
        <v>493</v>
      </c>
      <c r="H105" s="31" t="s">
        <v>474</v>
      </c>
      <c r="I105" s="13" t="n">
        <v>9</v>
      </c>
      <c r="J105" s="30" t="n">
        <v>8.5</v>
      </c>
      <c r="K105" s="18" t="n">
        <v>8.8</v>
      </c>
      <c r="L105" s="18" t="n">
        <v>8</v>
      </c>
      <c r="M105" s="18" t="n">
        <v>6</v>
      </c>
      <c r="N105" s="18" t="n">
        <v>8</v>
      </c>
      <c r="O105" s="18" t="n">
        <v>7</v>
      </c>
      <c r="P105" s="18" t="n">
        <v>3</v>
      </c>
      <c r="Q105" s="22" t="n">
        <v>1000</v>
      </c>
      <c r="R105" s="18" t="n">
        <v>7</v>
      </c>
      <c r="S105" s="18" t="n">
        <v>7</v>
      </c>
      <c r="T105" s="19" t="s">
        <v>65</v>
      </c>
      <c r="U105" s="18" t="s">
        <v>203</v>
      </c>
      <c r="V105" s="18" t="n">
        <v>7.5</v>
      </c>
      <c r="W105" s="18" t="n">
        <v>8.5</v>
      </c>
      <c r="X105" s="18" t="n">
        <v>7.5</v>
      </c>
      <c r="Y105" s="23" t="s">
        <v>254</v>
      </c>
      <c r="Z105" s="24" t="s">
        <v>494</v>
      </c>
      <c r="AA105" s="25" t="n">
        <f aca="false">ROUND(K105*0.12 + I105*0.08 + J105*0.07 + L105*0.06 + M105*0.06 + N105*0.08 + O105*0.06 + R105*0.09 + S105*0.04 + V105*0.13 + W105*0.11 + X105*0.08 + (I105+J105)/2*0.02, 2)</f>
        <v>7.87</v>
      </c>
    </row>
    <row r="106" customFormat="false" ht="15" hidden="false" customHeight="true" outlineLevel="0" collapsed="false">
      <c r="A106" s="8" t="n">
        <v>103</v>
      </c>
      <c r="B106" s="9" t="s">
        <v>418</v>
      </c>
      <c r="C106" s="9" t="s">
        <v>470</v>
      </c>
      <c r="D106" s="9" t="s">
        <v>483</v>
      </c>
      <c r="E106" s="10" t="s">
        <v>495</v>
      </c>
      <c r="F106" s="11" t="s">
        <v>496</v>
      </c>
      <c r="G106" s="9" t="s">
        <v>497</v>
      </c>
      <c r="H106" s="31" t="s">
        <v>474</v>
      </c>
      <c r="I106" s="13" t="n">
        <v>9</v>
      </c>
      <c r="J106" s="30" t="n">
        <v>8.5</v>
      </c>
      <c r="K106" s="8" t="n">
        <v>9</v>
      </c>
      <c r="L106" s="8" t="n">
        <v>4</v>
      </c>
      <c r="M106" s="8" t="n">
        <v>2</v>
      </c>
      <c r="N106" s="8" t="n">
        <v>8</v>
      </c>
      <c r="O106" s="8" t="n">
        <v>7</v>
      </c>
      <c r="P106" s="8" t="n">
        <v>5</v>
      </c>
      <c r="Q106" s="14" t="n">
        <v>1200</v>
      </c>
      <c r="R106" s="8" t="n">
        <v>5</v>
      </c>
      <c r="S106" s="8" t="n">
        <v>4</v>
      </c>
      <c r="T106" s="9" t="s">
        <v>65</v>
      </c>
      <c r="U106" s="8" t="s">
        <v>203</v>
      </c>
      <c r="V106" s="8" t="n">
        <v>9</v>
      </c>
      <c r="W106" s="8" t="n">
        <v>7</v>
      </c>
      <c r="X106" s="8" t="n">
        <v>7.5</v>
      </c>
      <c r="Y106" s="27" t="s">
        <v>67</v>
      </c>
      <c r="Z106" s="16" t="s">
        <v>498</v>
      </c>
      <c r="AA106" s="17" t="n">
        <f aca="false">ROUND(K106*0.12 + I106*0.08 + J106*0.07 + L106*0.06 + M106*0.06 + N106*0.08 + O106*0.06 + R106*0.09 + S106*0.04 + V106*0.13 + W106*0.11 + X106*0.08 + (I106+J106)/2*0.02, 2)</f>
        <v>7.14</v>
      </c>
    </row>
    <row r="107" customFormat="false" ht="15" hidden="false" customHeight="true" outlineLevel="0" collapsed="false">
      <c r="A107" s="18" t="n">
        <v>104</v>
      </c>
      <c r="B107" s="19" t="s">
        <v>418</v>
      </c>
      <c r="C107" s="19" t="s">
        <v>470</v>
      </c>
      <c r="D107" s="19" t="s">
        <v>499</v>
      </c>
      <c r="E107" s="20" t="s">
        <v>500</v>
      </c>
      <c r="F107" s="21" t="s">
        <v>501</v>
      </c>
      <c r="G107" s="19" t="s">
        <v>502</v>
      </c>
      <c r="H107" s="31" t="s">
        <v>474</v>
      </c>
      <c r="I107" s="13" t="n">
        <v>9</v>
      </c>
      <c r="J107" s="30" t="n">
        <v>8.5</v>
      </c>
      <c r="K107" s="18" t="n">
        <v>9</v>
      </c>
      <c r="L107" s="18" t="n">
        <v>3</v>
      </c>
      <c r="M107" s="18" t="n">
        <v>2</v>
      </c>
      <c r="N107" s="18" t="n">
        <v>8</v>
      </c>
      <c r="O107" s="18" t="n">
        <v>8</v>
      </c>
      <c r="P107" s="18" t="n">
        <v>8</v>
      </c>
      <c r="Q107" s="22" t="n">
        <v>800</v>
      </c>
      <c r="R107" s="18" t="n">
        <v>5</v>
      </c>
      <c r="S107" s="18" t="n">
        <v>5</v>
      </c>
      <c r="T107" s="19" t="s">
        <v>65</v>
      </c>
      <c r="U107" s="18" t="s">
        <v>215</v>
      </c>
      <c r="V107" s="18" t="n">
        <v>9.5</v>
      </c>
      <c r="W107" s="18" t="n">
        <v>7</v>
      </c>
      <c r="X107" s="18" t="n">
        <v>8</v>
      </c>
      <c r="Y107" s="28" t="s">
        <v>134</v>
      </c>
      <c r="Z107" s="24" t="s">
        <v>503</v>
      </c>
      <c r="AA107" s="25" t="n">
        <f aca="false">ROUND(K107*0.12 + I107*0.08 + J107*0.07 + L107*0.06 + M107*0.06 + N107*0.08 + O107*0.06 + R107*0.09 + S107*0.04 + V107*0.13 + W107*0.11 + X107*0.08 + (I107+J107)/2*0.02, 2)</f>
        <v>7.29</v>
      </c>
    </row>
    <row r="108" customFormat="false" ht="15" hidden="false" customHeight="true" outlineLevel="0" collapsed="false">
      <c r="A108" s="8" t="n">
        <v>105</v>
      </c>
      <c r="B108" s="9" t="s">
        <v>504</v>
      </c>
      <c r="C108" s="9" t="s">
        <v>505</v>
      </c>
      <c r="D108" s="9" t="s">
        <v>506</v>
      </c>
      <c r="E108" s="10" t="s">
        <v>507</v>
      </c>
      <c r="F108" s="11" t="s">
        <v>508</v>
      </c>
      <c r="G108" s="9" t="s">
        <v>509</v>
      </c>
      <c r="H108" s="12" t="s">
        <v>202</v>
      </c>
      <c r="I108" s="13" t="n">
        <v>9.5</v>
      </c>
      <c r="J108" s="13" t="n">
        <v>9</v>
      </c>
      <c r="K108" s="8" t="n">
        <v>9.3</v>
      </c>
      <c r="L108" s="8" t="n">
        <v>8</v>
      </c>
      <c r="M108" s="8" t="n">
        <v>6</v>
      </c>
      <c r="N108" s="8" t="n">
        <v>9</v>
      </c>
      <c r="O108" s="8" t="n">
        <v>8</v>
      </c>
      <c r="P108" s="8" t="n">
        <v>3</v>
      </c>
      <c r="Q108" s="14" t="n">
        <v>1500</v>
      </c>
      <c r="R108" s="8" t="n">
        <v>9</v>
      </c>
      <c r="S108" s="8" t="n">
        <v>8</v>
      </c>
      <c r="T108" s="9" t="s">
        <v>207</v>
      </c>
      <c r="U108" s="8" t="s">
        <v>147</v>
      </c>
      <c r="V108" s="8" t="n">
        <v>8.5</v>
      </c>
      <c r="W108" s="8" t="n">
        <v>10</v>
      </c>
      <c r="X108" s="8" t="n">
        <v>6.5</v>
      </c>
      <c r="Y108" s="23" t="s">
        <v>45</v>
      </c>
      <c r="Z108" s="16" t="s">
        <v>46</v>
      </c>
      <c r="AA108" s="17" t="n">
        <f aca="false">ROUND(K108*0.12 + I108*0.08 + J108*0.07 + L108*0.06 + M108*0.06 + N108*0.08 + O108*0.06 + R108*0.09 + S108*0.04 + V108*0.13 + W108*0.11 + X108*0.08 + (I108+J108)/2*0.02, 2)</f>
        <v>8.59</v>
      </c>
    </row>
    <row r="109" customFormat="false" ht="15" hidden="false" customHeight="true" outlineLevel="0" collapsed="false">
      <c r="A109" s="18" t="n">
        <v>106</v>
      </c>
      <c r="B109" s="19" t="s">
        <v>504</v>
      </c>
      <c r="C109" s="19" t="s">
        <v>505</v>
      </c>
      <c r="D109" s="19" t="s">
        <v>506</v>
      </c>
      <c r="E109" s="20" t="s">
        <v>510</v>
      </c>
      <c r="F109" s="21" t="s">
        <v>511</v>
      </c>
      <c r="G109" s="19" t="s">
        <v>512</v>
      </c>
      <c r="H109" s="12" t="s">
        <v>202</v>
      </c>
      <c r="I109" s="13" t="n">
        <v>9.5</v>
      </c>
      <c r="J109" s="13" t="n">
        <v>9</v>
      </c>
      <c r="K109" s="18" t="n">
        <v>9</v>
      </c>
      <c r="L109" s="18" t="n">
        <v>7</v>
      </c>
      <c r="M109" s="18" t="n">
        <v>5</v>
      </c>
      <c r="N109" s="18" t="n">
        <v>10</v>
      </c>
      <c r="O109" s="18" t="n">
        <v>7</v>
      </c>
      <c r="P109" s="18" t="n">
        <v>3</v>
      </c>
      <c r="Q109" s="22" t="n">
        <v>2000</v>
      </c>
      <c r="R109" s="18" t="n">
        <v>9</v>
      </c>
      <c r="S109" s="18" t="n">
        <v>7</v>
      </c>
      <c r="T109" s="19" t="s">
        <v>207</v>
      </c>
      <c r="U109" s="18" t="s">
        <v>147</v>
      </c>
      <c r="V109" s="18" t="n">
        <v>8</v>
      </c>
      <c r="W109" s="18" t="n">
        <v>10</v>
      </c>
      <c r="X109" s="18" t="n">
        <v>5.5</v>
      </c>
      <c r="Y109" s="26" t="s">
        <v>50</v>
      </c>
      <c r="Z109" s="24" t="s">
        <v>51</v>
      </c>
      <c r="AA109" s="25" t="n">
        <f aca="false">ROUND(K109*0.12 + I109*0.08 + J109*0.07 + L109*0.06 + M109*0.06 + N109*0.08 + O109*0.06 + R109*0.09 + S109*0.04 + V109*0.13 + W109*0.11 + X109*0.08 + (I109+J109)/2*0.02, 2)</f>
        <v>8.27</v>
      </c>
    </row>
    <row r="110" customFormat="false" ht="15" hidden="false" customHeight="true" outlineLevel="0" collapsed="false">
      <c r="A110" s="8" t="n">
        <v>107</v>
      </c>
      <c r="B110" s="9" t="s">
        <v>504</v>
      </c>
      <c r="C110" s="9" t="s">
        <v>505</v>
      </c>
      <c r="D110" s="9" t="s">
        <v>513</v>
      </c>
      <c r="E110" s="10" t="s">
        <v>514</v>
      </c>
      <c r="F110" s="11" t="s">
        <v>515</v>
      </c>
      <c r="G110" s="9" t="s">
        <v>417</v>
      </c>
      <c r="H110" s="12" t="s">
        <v>202</v>
      </c>
      <c r="I110" s="13" t="n">
        <v>9.5</v>
      </c>
      <c r="J110" s="13" t="n">
        <v>9</v>
      </c>
      <c r="K110" s="8" t="n">
        <v>9.5</v>
      </c>
      <c r="L110" s="8" t="n">
        <v>6</v>
      </c>
      <c r="M110" s="8" t="n">
        <v>6</v>
      </c>
      <c r="N110" s="8" t="n">
        <v>9</v>
      </c>
      <c r="O110" s="8" t="n">
        <v>9</v>
      </c>
      <c r="P110" s="8" t="n">
        <v>2</v>
      </c>
      <c r="Q110" s="14" t="n">
        <v>1200</v>
      </c>
      <c r="R110" s="8" t="n">
        <v>8</v>
      </c>
      <c r="S110" s="8" t="n">
        <v>8</v>
      </c>
      <c r="T110" s="9" t="s">
        <v>207</v>
      </c>
      <c r="U110" s="8" t="s">
        <v>147</v>
      </c>
      <c r="V110" s="8" t="n">
        <v>9.5</v>
      </c>
      <c r="W110" s="8" t="n">
        <v>10</v>
      </c>
      <c r="X110" s="8" t="n">
        <v>8</v>
      </c>
      <c r="Y110" s="23" t="s">
        <v>45</v>
      </c>
      <c r="Z110" s="16" t="s">
        <v>46</v>
      </c>
      <c r="AA110" s="17" t="n">
        <f aca="false">ROUND(K110*0.12 + I110*0.08 + J110*0.07 + L110*0.06 + M110*0.06 + N110*0.08 + O110*0.06 + R110*0.09 + S110*0.04 + V110*0.13 + W110*0.11 + X110*0.08 + (I110+J110)/2*0.02, 2)</f>
        <v>8.71</v>
      </c>
    </row>
    <row r="111" customFormat="false" ht="15" hidden="false" customHeight="true" outlineLevel="0" collapsed="false">
      <c r="A111" s="18" t="n">
        <v>108</v>
      </c>
      <c r="B111" s="19" t="s">
        <v>504</v>
      </c>
      <c r="C111" s="19" t="s">
        <v>505</v>
      </c>
      <c r="D111" s="19" t="s">
        <v>513</v>
      </c>
      <c r="E111" s="20" t="s">
        <v>516</v>
      </c>
      <c r="F111" s="21" t="s">
        <v>517</v>
      </c>
      <c r="G111" s="19" t="s">
        <v>518</v>
      </c>
      <c r="H111" s="12" t="s">
        <v>202</v>
      </c>
      <c r="I111" s="13" t="n">
        <v>9.5</v>
      </c>
      <c r="J111" s="13" t="n">
        <v>9</v>
      </c>
      <c r="K111" s="18" t="n">
        <v>9</v>
      </c>
      <c r="L111" s="18" t="n">
        <v>7</v>
      </c>
      <c r="M111" s="18" t="n">
        <v>7</v>
      </c>
      <c r="N111" s="18" t="n">
        <v>8</v>
      </c>
      <c r="O111" s="18" t="n">
        <v>9</v>
      </c>
      <c r="P111" s="18" t="n">
        <v>3</v>
      </c>
      <c r="Q111" s="22" t="n">
        <v>1200</v>
      </c>
      <c r="R111" s="18" t="n">
        <v>8</v>
      </c>
      <c r="S111" s="18" t="n">
        <v>8</v>
      </c>
      <c r="T111" s="19" t="s">
        <v>207</v>
      </c>
      <c r="U111" s="18" t="s">
        <v>147</v>
      </c>
      <c r="V111" s="18" t="n">
        <v>9</v>
      </c>
      <c r="W111" s="18" t="n">
        <v>10</v>
      </c>
      <c r="X111" s="18" t="n">
        <v>7.5</v>
      </c>
      <c r="Y111" s="15" t="s">
        <v>38</v>
      </c>
      <c r="Z111" s="24" t="s">
        <v>39</v>
      </c>
      <c r="AA111" s="25" t="n">
        <f aca="false">ROUND(K111*0.12 + I111*0.08 + J111*0.07 + L111*0.06 + M111*0.06 + N111*0.08 + O111*0.06 + R111*0.09 + S111*0.04 + V111*0.13 + W111*0.11 + X111*0.08 + (I111+J111)/2*0.02, 2)</f>
        <v>8.59</v>
      </c>
    </row>
    <row r="112" customFormat="false" ht="15" hidden="false" customHeight="true" outlineLevel="0" collapsed="false">
      <c r="A112" s="8" t="n">
        <v>109</v>
      </c>
      <c r="B112" s="9" t="s">
        <v>504</v>
      </c>
      <c r="C112" s="9" t="s">
        <v>505</v>
      </c>
      <c r="D112" s="9" t="s">
        <v>506</v>
      </c>
      <c r="E112" s="10" t="s">
        <v>519</v>
      </c>
      <c r="F112" s="11" t="s">
        <v>520</v>
      </c>
      <c r="G112" s="9" t="s">
        <v>521</v>
      </c>
      <c r="H112" s="12" t="s">
        <v>202</v>
      </c>
      <c r="I112" s="13" t="n">
        <v>9.5</v>
      </c>
      <c r="J112" s="13" t="n">
        <v>9</v>
      </c>
      <c r="K112" s="8" t="n">
        <v>8.8</v>
      </c>
      <c r="L112" s="8" t="n">
        <v>6</v>
      </c>
      <c r="M112" s="8" t="n">
        <v>4</v>
      </c>
      <c r="N112" s="8" t="n">
        <v>9</v>
      </c>
      <c r="O112" s="8" t="n">
        <v>7</v>
      </c>
      <c r="P112" s="8" t="n">
        <v>4</v>
      </c>
      <c r="Q112" s="14" t="n">
        <v>1200</v>
      </c>
      <c r="R112" s="8" t="n">
        <v>7</v>
      </c>
      <c r="S112" s="8" t="n">
        <v>5</v>
      </c>
      <c r="T112" s="9" t="s">
        <v>207</v>
      </c>
      <c r="U112" s="8" t="s">
        <v>103</v>
      </c>
      <c r="V112" s="8" t="n">
        <v>8</v>
      </c>
      <c r="W112" s="8" t="n">
        <v>8.5</v>
      </c>
      <c r="X112" s="8" t="n">
        <v>7</v>
      </c>
      <c r="Y112" s="23" t="s">
        <v>522</v>
      </c>
      <c r="Z112" s="16" t="s">
        <v>523</v>
      </c>
      <c r="AA112" s="17" t="n">
        <f aca="false">ROUND(K112*0.12 + I112*0.08 + J112*0.07 + L112*0.06 + M112*0.06 + N112*0.08 + O112*0.06 + R112*0.09 + S112*0.04 + V112*0.13 + W112*0.11 + X112*0.08 + (I112+J112)/2*0.02, 2)</f>
        <v>7.74</v>
      </c>
    </row>
    <row r="113" customFormat="false" ht="15" hidden="false" customHeight="true" outlineLevel="0" collapsed="false">
      <c r="A113" s="18" t="n">
        <v>110</v>
      </c>
      <c r="B113" s="19" t="s">
        <v>504</v>
      </c>
      <c r="C113" s="19" t="s">
        <v>524</v>
      </c>
      <c r="D113" s="19" t="s">
        <v>525</v>
      </c>
      <c r="E113" s="20" t="s">
        <v>526</v>
      </c>
      <c r="F113" s="21" t="s">
        <v>527</v>
      </c>
      <c r="G113" s="19" t="s">
        <v>34</v>
      </c>
      <c r="H113" s="12" t="s">
        <v>528</v>
      </c>
      <c r="I113" s="30" t="n">
        <v>7.5</v>
      </c>
      <c r="J113" s="30" t="n">
        <v>7.5</v>
      </c>
      <c r="K113" s="18" t="n">
        <v>9.5</v>
      </c>
      <c r="L113" s="18" t="n">
        <v>6</v>
      </c>
      <c r="M113" s="18" t="n">
        <v>6</v>
      </c>
      <c r="N113" s="18" t="n">
        <v>9</v>
      </c>
      <c r="O113" s="18" t="n">
        <v>9</v>
      </c>
      <c r="P113" s="18" t="n">
        <v>5</v>
      </c>
      <c r="Q113" s="22" t="n">
        <v>600</v>
      </c>
      <c r="R113" s="18" t="n">
        <v>9</v>
      </c>
      <c r="S113" s="18" t="n">
        <v>7</v>
      </c>
      <c r="T113" s="19" t="s">
        <v>43</v>
      </c>
      <c r="U113" s="18" t="s">
        <v>529</v>
      </c>
      <c r="V113" s="18" t="n">
        <v>10</v>
      </c>
      <c r="W113" s="18" t="n">
        <v>9</v>
      </c>
      <c r="X113" s="18" t="n">
        <v>8.5</v>
      </c>
      <c r="Y113" s="26" t="s">
        <v>50</v>
      </c>
      <c r="Z113" s="24" t="s">
        <v>168</v>
      </c>
      <c r="AA113" s="25" t="n">
        <f aca="false">ROUND(K113*0.12 + I113*0.08 + J113*0.07 + L113*0.06 + M113*0.06 + N113*0.08 + O113*0.06 + R113*0.09 + S113*0.04 + V113*0.13 + W113*0.11 + X113*0.08 + (I113+J113)/2*0.02, 2)</f>
        <v>8.46</v>
      </c>
    </row>
    <row r="114" customFormat="false" ht="15" hidden="false" customHeight="true" outlineLevel="0" collapsed="false">
      <c r="A114" s="8" t="n">
        <v>111</v>
      </c>
      <c r="B114" s="9" t="s">
        <v>504</v>
      </c>
      <c r="C114" s="9" t="s">
        <v>524</v>
      </c>
      <c r="D114" s="9" t="s">
        <v>530</v>
      </c>
      <c r="E114" s="10" t="s">
        <v>531</v>
      </c>
      <c r="F114" s="11" t="s">
        <v>532</v>
      </c>
      <c r="G114" s="9" t="s">
        <v>162</v>
      </c>
      <c r="H114" s="12" t="s">
        <v>528</v>
      </c>
      <c r="I114" s="30" t="n">
        <v>8</v>
      </c>
      <c r="J114" s="30" t="n">
        <v>8</v>
      </c>
      <c r="K114" s="8" t="n">
        <v>9.5</v>
      </c>
      <c r="L114" s="8" t="n">
        <v>6</v>
      </c>
      <c r="M114" s="8" t="n">
        <v>4</v>
      </c>
      <c r="N114" s="8" t="n">
        <v>10</v>
      </c>
      <c r="O114" s="8" t="n">
        <v>8</v>
      </c>
      <c r="P114" s="8" t="n">
        <v>6</v>
      </c>
      <c r="Q114" s="14" t="n">
        <v>600</v>
      </c>
      <c r="R114" s="8" t="n">
        <v>6</v>
      </c>
      <c r="S114" s="8" t="n">
        <v>5</v>
      </c>
      <c r="T114" s="9" t="s">
        <v>43</v>
      </c>
      <c r="U114" s="8" t="s">
        <v>533</v>
      </c>
      <c r="V114" s="8" t="n">
        <v>10</v>
      </c>
      <c r="W114" s="8" t="n">
        <v>8</v>
      </c>
      <c r="X114" s="8" t="n">
        <v>8</v>
      </c>
      <c r="Y114" s="27" t="s">
        <v>67</v>
      </c>
      <c r="Z114" s="16" t="s">
        <v>390</v>
      </c>
      <c r="AA114" s="17" t="n">
        <f aca="false">ROUND(K114*0.12 + I114*0.08 + J114*0.07 + L114*0.06 + M114*0.06 + N114*0.08 + O114*0.06 + R114*0.09 + S114*0.04 + V114*0.13 + W114*0.11 + X114*0.08 + (I114+J114)/2*0.02, 2)</f>
        <v>7.94</v>
      </c>
    </row>
    <row r="115" customFormat="false" ht="15" hidden="false" customHeight="true" outlineLevel="0" collapsed="false">
      <c r="A115" s="18" t="n">
        <v>112</v>
      </c>
      <c r="B115" s="19" t="s">
        <v>504</v>
      </c>
      <c r="C115" s="19" t="s">
        <v>524</v>
      </c>
      <c r="D115" s="19" t="s">
        <v>534</v>
      </c>
      <c r="E115" s="20" t="s">
        <v>535</v>
      </c>
      <c r="F115" s="21" t="s">
        <v>536</v>
      </c>
      <c r="G115" s="19" t="s">
        <v>162</v>
      </c>
      <c r="H115" s="12" t="s">
        <v>528</v>
      </c>
      <c r="I115" s="32" t="n">
        <v>7</v>
      </c>
      <c r="J115" s="30" t="n">
        <v>7.5</v>
      </c>
      <c r="K115" s="18" t="n">
        <v>9</v>
      </c>
      <c r="L115" s="18" t="n">
        <v>6</v>
      </c>
      <c r="M115" s="18" t="n">
        <v>5</v>
      </c>
      <c r="N115" s="18" t="n">
        <v>9</v>
      </c>
      <c r="O115" s="18" t="n">
        <v>8</v>
      </c>
      <c r="P115" s="18" t="n">
        <v>4</v>
      </c>
      <c r="Q115" s="22" t="n">
        <v>500</v>
      </c>
      <c r="R115" s="18" t="n">
        <v>6</v>
      </c>
      <c r="S115" s="18" t="n">
        <v>6</v>
      </c>
      <c r="T115" s="19" t="s">
        <v>43</v>
      </c>
      <c r="U115" s="18" t="s">
        <v>529</v>
      </c>
      <c r="V115" s="18" t="n">
        <v>9</v>
      </c>
      <c r="W115" s="18" t="n">
        <v>7.5</v>
      </c>
      <c r="X115" s="18" t="n">
        <v>8.5</v>
      </c>
      <c r="Y115" s="26" t="s">
        <v>50</v>
      </c>
      <c r="Z115" s="24" t="s">
        <v>51</v>
      </c>
      <c r="AA115" s="25" t="n">
        <f aca="false">ROUND(K115*0.12 + I115*0.08 + J115*0.07 + L115*0.06 + M115*0.06 + N115*0.08 + O115*0.06 + R115*0.09 + S115*0.04 + V115*0.13 + W115*0.11 + X115*0.08 + (I115+J115)/2*0.02, 2)</f>
        <v>7.63</v>
      </c>
    </row>
    <row r="116" customFormat="false" ht="15" hidden="false" customHeight="true" outlineLevel="0" collapsed="false">
      <c r="A116" s="8" t="n">
        <v>113</v>
      </c>
      <c r="B116" s="9" t="s">
        <v>504</v>
      </c>
      <c r="C116" s="9" t="s">
        <v>524</v>
      </c>
      <c r="D116" s="9" t="s">
        <v>537</v>
      </c>
      <c r="E116" s="10" t="s">
        <v>538</v>
      </c>
      <c r="F116" s="11" t="s">
        <v>539</v>
      </c>
      <c r="G116" s="9" t="s">
        <v>540</v>
      </c>
      <c r="H116" s="12" t="s">
        <v>528</v>
      </c>
      <c r="I116" s="32" t="n">
        <v>7</v>
      </c>
      <c r="J116" s="30" t="n">
        <v>7.5</v>
      </c>
      <c r="K116" s="8" t="n">
        <v>8.8</v>
      </c>
      <c r="L116" s="8" t="n">
        <v>7</v>
      </c>
      <c r="M116" s="8" t="n">
        <v>6</v>
      </c>
      <c r="N116" s="8" t="n">
        <v>9</v>
      </c>
      <c r="O116" s="8" t="n">
        <v>8</v>
      </c>
      <c r="P116" s="8" t="n">
        <v>5</v>
      </c>
      <c r="Q116" s="14" t="n">
        <v>500</v>
      </c>
      <c r="R116" s="8" t="n">
        <v>7</v>
      </c>
      <c r="S116" s="8" t="n">
        <v>7</v>
      </c>
      <c r="T116" s="9" t="s">
        <v>65</v>
      </c>
      <c r="U116" s="8" t="s">
        <v>457</v>
      </c>
      <c r="V116" s="8" t="n">
        <v>8</v>
      </c>
      <c r="W116" s="8" t="n">
        <v>8.5</v>
      </c>
      <c r="X116" s="8" t="n">
        <v>8.5</v>
      </c>
      <c r="Y116" s="23" t="s">
        <v>56</v>
      </c>
      <c r="Z116" s="16" t="s">
        <v>57</v>
      </c>
      <c r="AA116" s="17" t="n">
        <f aca="false">ROUND(K116*0.12 + I116*0.08 + J116*0.07 + L116*0.06 + M116*0.06 + N116*0.08 + O116*0.06 + R116*0.09 + S116*0.04 + V116*0.13 + W116*0.11 + X116*0.08 + (I116+J116)/2*0.02, 2)</f>
        <v>7.83</v>
      </c>
    </row>
    <row r="117" customFormat="false" ht="15" hidden="false" customHeight="true" outlineLevel="0" collapsed="false">
      <c r="A117" s="18" t="n">
        <v>114</v>
      </c>
      <c r="B117" s="19" t="s">
        <v>504</v>
      </c>
      <c r="C117" s="19" t="s">
        <v>524</v>
      </c>
      <c r="D117" s="19" t="s">
        <v>541</v>
      </c>
      <c r="E117" s="20" t="s">
        <v>542</v>
      </c>
      <c r="F117" s="21" t="s">
        <v>543</v>
      </c>
      <c r="G117" s="19" t="s">
        <v>167</v>
      </c>
      <c r="H117" s="12" t="s">
        <v>528</v>
      </c>
      <c r="I117" s="32" t="n">
        <v>7</v>
      </c>
      <c r="J117" s="30" t="n">
        <v>7.5</v>
      </c>
      <c r="K117" s="18" t="n">
        <v>9</v>
      </c>
      <c r="L117" s="18" t="n">
        <v>5</v>
      </c>
      <c r="M117" s="18" t="n">
        <v>5</v>
      </c>
      <c r="N117" s="18" t="n">
        <v>8</v>
      </c>
      <c r="O117" s="18" t="n">
        <v>8</v>
      </c>
      <c r="P117" s="18" t="n">
        <v>3</v>
      </c>
      <c r="Q117" s="22" t="n">
        <v>500</v>
      </c>
      <c r="R117" s="18" t="n">
        <v>6</v>
      </c>
      <c r="S117" s="18" t="n">
        <v>7</v>
      </c>
      <c r="T117" s="19" t="s">
        <v>43</v>
      </c>
      <c r="U117" s="18" t="s">
        <v>152</v>
      </c>
      <c r="V117" s="18" t="n">
        <v>9.5</v>
      </c>
      <c r="W117" s="18" t="n">
        <v>7.5</v>
      </c>
      <c r="X117" s="18" t="n">
        <v>8.5</v>
      </c>
      <c r="Y117" s="26" t="s">
        <v>50</v>
      </c>
      <c r="Z117" s="24" t="s">
        <v>51</v>
      </c>
      <c r="AA117" s="25" t="n">
        <f aca="false">ROUND(K117*0.12 + I117*0.08 + J117*0.07 + L117*0.06 + M117*0.06 + N117*0.08 + O117*0.06 + R117*0.09 + S117*0.04 + V117*0.13 + W117*0.11 + X117*0.08 + (I117+J117)/2*0.02, 2)</f>
        <v>7.59</v>
      </c>
    </row>
    <row r="118" customFormat="false" ht="15" hidden="false" customHeight="true" outlineLevel="0" collapsed="false">
      <c r="A118" s="8" t="n">
        <v>115</v>
      </c>
      <c r="B118" s="9" t="s">
        <v>504</v>
      </c>
      <c r="C118" s="9" t="s">
        <v>524</v>
      </c>
      <c r="D118" s="9" t="s">
        <v>525</v>
      </c>
      <c r="E118" s="10" t="s">
        <v>544</v>
      </c>
      <c r="F118" s="11" t="s">
        <v>545</v>
      </c>
      <c r="G118" s="9" t="s">
        <v>546</v>
      </c>
      <c r="H118" s="12" t="s">
        <v>528</v>
      </c>
      <c r="I118" s="30" t="n">
        <v>7.5</v>
      </c>
      <c r="J118" s="30" t="n">
        <v>7.5</v>
      </c>
      <c r="K118" s="8" t="n">
        <v>8.8</v>
      </c>
      <c r="L118" s="8" t="n">
        <v>6</v>
      </c>
      <c r="M118" s="8" t="n">
        <v>6</v>
      </c>
      <c r="N118" s="8" t="n">
        <v>8</v>
      </c>
      <c r="O118" s="8" t="n">
        <v>9</v>
      </c>
      <c r="P118" s="8" t="n">
        <v>4</v>
      </c>
      <c r="Q118" s="14" t="n">
        <v>600</v>
      </c>
      <c r="R118" s="8" t="n">
        <v>9</v>
      </c>
      <c r="S118" s="8" t="n">
        <v>8</v>
      </c>
      <c r="T118" s="9" t="s">
        <v>43</v>
      </c>
      <c r="U118" s="8" t="s">
        <v>529</v>
      </c>
      <c r="V118" s="8" t="n">
        <v>8.5</v>
      </c>
      <c r="W118" s="8" t="n">
        <v>8.5</v>
      </c>
      <c r="X118" s="8" t="n">
        <v>8</v>
      </c>
      <c r="Y118" s="26" t="s">
        <v>50</v>
      </c>
      <c r="Z118" s="16" t="s">
        <v>168</v>
      </c>
      <c r="AA118" s="17" t="n">
        <f aca="false">ROUND(K118*0.12 + I118*0.08 + J118*0.07 + L118*0.06 + M118*0.06 + N118*0.08 + O118*0.06 + R118*0.09 + S118*0.04 + V118*0.13 + W118*0.11 + X118*0.08 + (I118+J118)/2*0.02, 2)</f>
        <v>8.04</v>
      </c>
    </row>
    <row r="119" customFormat="false" ht="15" hidden="false" customHeight="true" outlineLevel="0" collapsed="false">
      <c r="A119" s="18" t="n">
        <v>116</v>
      </c>
      <c r="B119" s="19" t="s">
        <v>504</v>
      </c>
      <c r="C119" s="19" t="s">
        <v>524</v>
      </c>
      <c r="D119" s="19" t="s">
        <v>547</v>
      </c>
      <c r="E119" s="20" t="s">
        <v>548</v>
      </c>
      <c r="F119" s="21" t="s">
        <v>549</v>
      </c>
      <c r="G119" s="19" t="s">
        <v>306</v>
      </c>
      <c r="H119" s="12" t="s">
        <v>528</v>
      </c>
      <c r="I119" s="32" t="n">
        <v>7</v>
      </c>
      <c r="J119" s="30" t="n">
        <v>7.5</v>
      </c>
      <c r="K119" s="18" t="n">
        <v>9</v>
      </c>
      <c r="L119" s="18" t="n">
        <v>6</v>
      </c>
      <c r="M119" s="18" t="n">
        <v>4</v>
      </c>
      <c r="N119" s="18" t="n">
        <v>9</v>
      </c>
      <c r="O119" s="18" t="n">
        <v>8</v>
      </c>
      <c r="P119" s="18" t="n">
        <v>4</v>
      </c>
      <c r="Q119" s="22" t="n">
        <v>500</v>
      </c>
      <c r="R119" s="18" t="n">
        <v>5</v>
      </c>
      <c r="S119" s="18" t="n">
        <v>6</v>
      </c>
      <c r="T119" s="19" t="s">
        <v>65</v>
      </c>
      <c r="U119" s="18" t="s">
        <v>550</v>
      </c>
      <c r="V119" s="18" t="n">
        <v>8.5</v>
      </c>
      <c r="W119" s="18" t="n">
        <v>7.5</v>
      </c>
      <c r="X119" s="18" t="n">
        <v>8.5</v>
      </c>
      <c r="Y119" s="29" t="s">
        <v>96</v>
      </c>
      <c r="Z119" s="24" t="s">
        <v>220</v>
      </c>
      <c r="AA119" s="25" t="n">
        <f aca="false">ROUND(K119*0.12 + I119*0.08 + J119*0.07 + L119*0.06 + M119*0.06 + N119*0.08 + O119*0.06 + R119*0.09 + S119*0.04 + V119*0.13 + W119*0.11 + X119*0.08 + (I119+J119)/2*0.02, 2)</f>
        <v>7.41</v>
      </c>
    </row>
    <row r="120" customFormat="false" ht="15" hidden="false" customHeight="true" outlineLevel="0" collapsed="false">
      <c r="A120" s="8" t="n">
        <v>117</v>
      </c>
      <c r="B120" s="9" t="s">
        <v>504</v>
      </c>
      <c r="C120" s="9" t="s">
        <v>524</v>
      </c>
      <c r="D120" s="9" t="s">
        <v>551</v>
      </c>
      <c r="E120" s="10" t="s">
        <v>551</v>
      </c>
      <c r="F120" s="11" t="s">
        <v>552</v>
      </c>
      <c r="G120" s="9" t="s">
        <v>553</v>
      </c>
      <c r="H120" s="12" t="s">
        <v>528</v>
      </c>
      <c r="I120" s="32" t="n">
        <v>7</v>
      </c>
      <c r="J120" s="30" t="n">
        <v>7.5</v>
      </c>
      <c r="K120" s="8" t="n">
        <v>8.5</v>
      </c>
      <c r="L120" s="8" t="n">
        <v>5</v>
      </c>
      <c r="M120" s="8" t="n">
        <v>5</v>
      </c>
      <c r="N120" s="8" t="n">
        <v>8</v>
      </c>
      <c r="O120" s="8" t="n">
        <v>8</v>
      </c>
      <c r="P120" s="8" t="n">
        <v>3</v>
      </c>
      <c r="Q120" s="14" t="n">
        <v>400</v>
      </c>
      <c r="R120" s="8" t="n">
        <v>5</v>
      </c>
      <c r="S120" s="8" t="n">
        <v>7</v>
      </c>
      <c r="T120" s="9" t="s">
        <v>43</v>
      </c>
      <c r="U120" s="8" t="s">
        <v>533</v>
      </c>
      <c r="V120" s="8" t="n">
        <v>9</v>
      </c>
      <c r="W120" s="8" t="n">
        <v>7</v>
      </c>
      <c r="X120" s="8" t="n">
        <v>9</v>
      </c>
      <c r="Y120" s="26" t="s">
        <v>50</v>
      </c>
      <c r="Z120" s="16" t="s">
        <v>51</v>
      </c>
      <c r="AA120" s="17" t="n">
        <f aca="false">ROUND(K120*0.12 + I120*0.08 + J120*0.07 + L120*0.06 + M120*0.06 + N120*0.08 + O120*0.06 + R120*0.09 + S120*0.04 + V120*0.13 + W120*0.11 + X120*0.08 + (I120+J120)/2*0.02, 2)</f>
        <v>7.36</v>
      </c>
    </row>
    <row r="121" customFormat="false" ht="15" hidden="false" customHeight="true" outlineLevel="0" collapsed="false">
      <c r="A121" s="18" t="n">
        <v>118</v>
      </c>
      <c r="B121" s="19" t="s">
        <v>504</v>
      </c>
      <c r="C121" s="19" t="s">
        <v>554</v>
      </c>
      <c r="D121" s="19" t="s">
        <v>555</v>
      </c>
      <c r="E121" s="20" t="s">
        <v>556</v>
      </c>
      <c r="F121" s="21" t="s">
        <v>557</v>
      </c>
      <c r="G121" s="19" t="s">
        <v>34</v>
      </c>
      <c r="H121" s="12" t="s">
        <v>35</v>
      </c>
      <c r="I121" s="30" t="n">
        <v>8</v>
      </c>
      <c r="J121" s="30" t="n">
        <v>7.5</v>
      </c>
      <c r="K121" s="18" t="n">
        <v>8.5</v>
      </c>
      <c r="L121" s="18" t="n">
        <v>5</v>
      </c>
      <c r="M121" s="18" t="n">
        <v>5</v>
      </c>
      <c r="N121" s="18" t="n">
        <v>7</v>
      </c>
      <c r="O121" s="18" t="n">
        <v>7</v>
      </c>
      <c r="P121" s="18" t="n">
        <v>3</v>
      </c>
      <c r="Q121" s="22" t="n">
        <v>1000</v>
      </c>
      <c r="R121" s="18" t="n">
        <v>7</v>
      </c>
      <c r="S121" s="18" t="n">
        <v>6</v>
      </c>
      <c r="T121" s="19" t="s">
        <v>207</v>
      </c>
      <c r="U121" s="18" t="s">
        <v>103</v>
      </c>
      <c r="V121" s="18" t="n">
        <v>8.5</v>
      </c>
      <c r="W121" s="18" t="n">
        <v>8.5</v>
      </c>
      <c r="X121" s="18" t="n">
        <v>7</v>
      </c>
      <c r="Y121" s="26" t="s">
        <v>50</v>
      </c>
      <c r="Z121" s="24" t="s">
        <v>51</v>
      </c>
      <c r="AA121" s="25" t="n">
        <f aca="false">ROUND(K121*0.12 + I121*0.08 + J121*0.07 + L121*0.06 + M121*0.06 + N121*0.08 + O121*0.06 + R121*0.09 + S121*0.04 + V121*0.13 + W121*0.11 + X121*0.08 + (I121+J121)/2*0.02, 2)</f>
        <v>7.39</v>
      </c>
    </row>
    <row r="122" customFormat="false" ht="15" hidden="false" customHeight="true" outlineLevel="0" collapsed="false">
      <c r="A122" s="8" t="n">
        <v>119</v>
      </c>
      <c r="B122" s="9" t="s">
        <v>504</v>
      </c>
      <c r="C122" s="9" t="s">
        <v>554</v>
      </c>
      <c r="D122" s="9" t="s">
        <v>558</v>
      </c>
      <c r="E122" s="10" t="s">
        <v>559</v>
      </c>
      <c r="F122" s="11" t="s">
        <v>560</v>
      </c>
      <c r="G122" s="9" t="s">
        <v>34</v>
      </c>
      <c r="H122" s="12" t="s">
        <v>35</v>
      </c>
      <c r="I122" s="30" t="n">
        <v>8</v>
      </c>
      <c r="J122" s="30" t="n">
        <v>7.5</v>
      </c>
      <c r="K122" s="8" t="n">
        <v>8.3</v>
      </c>
      <c r="L122" s="8" t="n">
        <v>5</v>
      </c>
      <c r="M122" s="8" t="n">
        <v>5</v>
      </c>
      <c r="N122" s="8" t="n">
        <v>7</v>
      </c>
      <c r="O122" s="8" t="n">
        <v>8</v>
      </c>
      <c r="P122" s="8" t="n">
        <v>3</v>
      </c>
      <c r="Q122" s="14" t="n">
        <v>800</v>
      </c>
      <c r="R122" s="8" t="n">
        <v>7</v>
      </c>
      <c r="S122" s="8" t="n">
        <v>7</v>
      </c>
      <c r="T122" s="9" t="s">
        <v>207</v>
      </c>
      <c r="U122" s="8" t="s">
        <v>103</v>
      </c>
      <c r="V122" s="8" t="n">
        <v>8.5</v>
      </c>
      <c r="W122" s="8" t="n">
        <v>8</v>
      </c>
      <c r="X122" s="8" t="n">
        <v>7.5</v>
      </c>
      <c r="Y122" s="26" t="s">
        <v>50</v>
      </c>
      <c r="Z122" s="16" t="s">
        <v>51</v>
      </c>
      <c r="AA122" s="17" t="n">
        <f aca="false">ROUND(K122*0.12 + I122*0.08 + J122*0.07 + L122*0.06 + M122*0.06 + N122*0.08 + O122*0.06 + R122*0.09 + S122*0.04 + V122*0.13 + W122*0.11 + X122*0.08 + (I122+J122)/2*0.02, 2)</f>
        <v>7.45</v>
      </c>
    </row>
    <row r="123" customFormat="false" ht="15" hidden="false" customHeight="true" outlineLevel="0" collapsed="false">
      <c r="A123" s="18" t="n">
        <v>120</v>
      </c>
      <c r="B123" s="19" t="s">
        <v>504</v>
      </c>
      <c r="C123" s="19" t="s">
        <v>554</v>
      </c>
      <c r="D123" s="19" t="s">
        <v>561</v>
      </c>
      <c r="E123" s="20" t="s">
        <v>562</v>
      </c>
      <c r="F123" s="21" t="s">
        <v>563</v>
      </c>
      <c r="G123" s="19" t="s">
        <v>167</v>
      </c>
      <c r="H123" s="12" t="s">
        <v>35</v>
      </c>
      <c r="I123" s="30" t="n">
        <v>8</v>
      </c>
      <c r="J123" s="30" t="n">
        <v>7.5</v>
      </c>
      <c r="K123" s="18" t="n">
        <v>9</v>
      </c>
      <c r="L123" s="18" t="n">
        <v>4</v>
      </c>
      <c r="M123" s="18" t="n">
        <v>4</v>
      </c>
      <c r="N123" s="18" t="n">
        <v>8</v>
      </c>
      <c r="O123" s="18" t="n">
        <v>8</v>
      </c>
      <c r="P123" s="18" t="n">
        <v>4</v>
      </c>
      <c r="Q123" s="22" t="n">
        <v>1200</v>
      </c>
      <c r="R123" s="18" t="n">
        <v>4</v>
      </c>
      <c r="S123" s="18" t="n">
        <v>4</v>
      </c>
      <c r="T123" s="19" t="s">
        <v>207</v>
      </c>
      <c r="U123" s="18" t="s">
        <v>103</v>
      </c>
      <c r="V123" s="18" t="n">
        <v>9.5</v>
      </c>
      <c r="W123" s="18" t="n">
        <v>8</v>
      </c>
      <c r="X123" s="18" t="n">
        <v>7.5</v>
      </c>
      <c r="Y123" s="29" t="s">
        <v>96</v>
      </c>
      <c r="Z123" s="24" t="s">
        <v>220</v>
      </c>
      <c r="AA123" s="25" t="n">
        <f aca="false">ROUND(K123*0.12 + I123*0.08 + J123*0.07 + L123*0.06 + M123*0.06 + N123*0.08 + O123*0.06 + R123*0.09 + S123*0.04 + V123*0.13 + W123*0.11 + X123*0.08 + (I123+J123)/2*0.02, 2)</f>
        <v>7.24</v>
      </c>
    </row>
    <row r="124" customFormat="false" ht="15" hidden="false" customHeight="true" outlineLevel="0" collapsed="false">
      <c r="A124" s="8" t="n">
        <v>121</v>
      </c>
      <c r="B124" s="9" t="s">
        <v>504</v>
      </c>
      <c r="C124" s="9" t="s">
        <v>564</v>
      </c>
      <c r="D124" s="9" t="s">
        <v>565</v>
      </c>
      <c r="E124" s="10" t="s">
        <v>566</v>
      </c>
      <c r="F124" s="11" t="s">
        <v>567</v>
      </c>
      <c r="G124" s="9" t="s">
        <v>417</v>
      </c>
      <c r="H124" s="12" t="s">
        <v>35</v>
      </c>
      <c r="I124" s="13" t="n">
        <v>9</v>
      </c>
      <c r="J124" s="30" t="n">
        <v>8.5</v>
      </c>
      <c r="K124" s="8" t="n">
        <v>9</v>
      </c>
      <c r="L124" s="8" t="n">
        <v>5</v>
      </c>
      <c r="M124" s="8" t="n">
        <v>5</v>
      </c>
      <c r="N124" s="8" t="n">
        <v>8</v>
      </c>
      <c r="O124" s="8" t="n">
        <v>8</v>
      </c>
      <c r="P124" s="8" t="n">
        <v>2</v>
      </c>
      <c r="Q124" s="14" t="n">
        <v>800</v>
      </c>
      <c r="R124" s="8" t="n">
        <v>6</v>
      </c>
      <c r="S124" s="8" t="n">
        <v>6</v>
      </c>
      <c r="T124" s="9" t="s">
        <v>207</v>
      </c>
      <c r="U124" s="8" t="s">
        <v>103</v>
      </c>
      <c r="V124" s="8" t="n">
        <v>9</v>
      </c>
      <c r="W124" s="8" t="n">
        <v>8</v>
      </c>
      <c r="X124" s="8" t="n">
        <v>7.5</v>
      </c>
      <c r="Y124" s="26" t="s">
        <v>50</v>
      </c>
      <c r="Z124" s="16" t="s">
        <v>51</v>
      </c>
      <c r="AA124" s="17" t="n">
        <f aca="false">ROUND(K124*0.12 + I124*0.08 + J124*0.07 + L124*0.06 + M124*0.06 + N124*0.08 + O124*0.06 + R124*0.09 + S124*0.04 + V124*0.13 + W124*0.11 + X124*0.08 + (I124+J124)/2*0.02, 2)</f>
        <v>7.72</v>
      </c>
    </row>
    <row r="125" customFormat="false" ht="15" hidden="false" customHeight="true" outlineLevel="0" collapsed="false">
      <c r="A125" s="18" t="n">
        <v>122</v>
      </c>
      <c r="B125" s="19" t="s">
        <v>504</v>
      </c>
      <c r="C125" s="19" t="s">
        <v>564</v>
      </c>
      <c r="D125" s="19" t="s">
        <v>568</v>
      </c>
      <c r="E125" s="20" t="s">
        <v>569</v>
      </c>
      <c r="F125" s="21" t="s">
        <v>570</v>
      </c>
      <c r="G125" s="19" t="s">
        <v>571</v>
      </c>
      <c r="H125" s="12" t="s">
        <v>35</v>
      </c>
      <c r="I125" s="13" t="n">
        <v>9</v>
      </c>
      <c r="J125" s="30" t="n">
        <v>8.5</v>
      </c>
      <c r="K125" s="18" t="n">
        <v>8.5</v>
      </c>
      <c r="L125" s="18" t="n">
        <v>4</v>
      </c>
      <c r="M125" s="18" t="n">
        <v>3</v>
      </c>
      <c r="N125" s="18" t="n">
        <v>8</v>
      </c>
      <c r="O125" s="18" t="n">
        <v>7</v>
      </c>
      <c r="P125" s="18" t="n">
        <v>5</v>
      </c>
      <c r="Q125" s="22" t="n">
        <v>800</v>
      </c>
      <c r="R125" s="18" t="n">
        <v>4</v>
      </c>
      <c r="S125" s="18" t="n">
        <v>5</v>
      </c>
      <c r="T125" s="19" t="s">
        <v>207</v>
      </c>
      <c r="U125" s="18" t="s">
        <v>103</v>
      </c>
      <c r="V125" s="18" t="n">
        <v>8.5</v>
      </c>
      <c r="W125" s="18" t="n">
        <v>6.5</v>
      </c>
      <c r="X125" s="18" t="n">
        <v>7</v>
      </c>
      <c r="Y125" s="26" t="s">
        <v>50</v>
      </c>
      <c r="Z125" s="24" t="s">
        <v>572</v>
      </c>
      <c r="AA125" s="25" t="n">
        <f aca="false">ROUND(K125*0.12 + I125*0.08 + J125*0.07 + L125*0.06 + M125*0.06 + N125*0.08 + O125*0.06 + R125*0.09 + S125*0.04 + V125*0.13 + W125*0.11 + X125*0.08 + (I125+J125)/2*0.02, 2)</f>
        <v>6.93</v>
      </c>
    </row>
    <row r="126" customFormat="false" ht="15" hidden="false" customHeight="true" outlineLevel="0" collapsed="false">
      <c r="A126" s="8" t="n">
        <v>123</v>
      </c>
      <c r="B126" s="9" t="s">
        <v>504</v>
      </c>
      <c r="C126" s="9" t="s">
        <v>573</v>
      </c>
      <c r="D126" s="9" t="s">
        <v>574</v>
      </c>
      <c r="E126" s="10" t="s">
        <v>575</v>
      </c>
      <c r="F126" s="11" t="s">
        <v>576</v>
      </c>
      <c r="G126" s="9" t="s">
        <v>518</v>
      </c>
      <c r="H126" s="12" t="s">
        <v>202</v>
      </c>
      <c r="I126" s="13" t="n">
        <v>9.5</v>
      </c>
      <c r="J126" s="13" t="n">
        <v>9</v>
      </c>
      <c r="K126" s="8" t="n">
        <v>9</v>
      </c>
      <c r="L126" s="8" t="n">
        <v>7</v>
      </c>
      <c r="M126" s="8" t="n">
        <v>7</v>
      </c>
      <c r="N126" s="8" t="n">
        <v>8</v>
      </c>
      <c r="O126" s="8" t="n">
        <v>9</v>
      </c>
      <c r="P126" s="8" t="n">
        <v>3</v>
      </c>
      <c r="Q126" s="14" t="n">
        <v>1200</v>
      </c>
      <c r="R126" s="8" t="n">
        <v>8</v>
      </c>
      <c r="S126" s="8" t="n">
        <v>7</v>
      </c>
      <c r="T126" s="9" t="s">
        <v>207</v>
      </c>
      <c r="U126" s="8" t="s">
        <v>147</v>
      </c>
      <c r="V126" s="8" t="n">
        <v>9</v>
      </c>
      <c r="W126" s="8" t="n">
        <v>10</v>
      </c>
      <c r="X126" s="8" t="n">
        <v>7.5</v>
      </c>
      <c r="Y126" s="15" t="s">
        <v>38</v>
      </c>
      <c r="Z126" s="16" t="s">
        <v>39</v>
      </c>
      <c r="AA126" s="17" t="n">
        <f aca="false">ROUND(K126*0.12 + I126*0.08 + J126*0.07 + L126*0.06 + M126*0.06 + N126*0.08 + O126*0.06 + R126*0.09 + S126*0.04 + V126*0.13 + W126*0.11 + X126*0.08 + (I126+J126)/2*0.02, 2)</f>
        <v>8.55</v>
      </c>
    </row>
    <row r="127" customFormat="false" ht="15" hidden="false" customHeight="true" outlineLevel="0" collapsed="false">
      <c r="A127" s="18" t="n">
        <v>124</v>
      </c>
      <c r="B127" s="19" t="s">
        <v>504</v>
      </c>
      <c r="C127" s="19" t="s">
        <v>573</v>
      </c>
      <c r="D127" s="19" t="s">
        <v>574</v>
      </c>
      <c r="E127" s="20" t="s">
        <v>577</v>
      </c>
      <c r="F127" s="21" t="s">
        <v>578</v>
      </c>
      <c r="G127" s="19" t="s">
        <v>579</v>
      </c>
      <c r="H127" s="12" t="s">
        <v>202</v>
      </c>
      <c r="I127" s="13" t="n">
        <v>9.5</v>
      </c>
      <c r="J127" s="13" t="n">
        <v>9</v>
      </c>
      <c r="K127" s="18" t="n">
        <v>8.5</v>
      </c>
      <c r="L127" s="18" t="n">
        <v>7</v>
      </c>
      <c r="M127" s="18" t="n">
        <v>6</v>
      </c>
      <c r="N127" s="18" t="n">
        <v>8</v>
      </c>
      <c r="O127" s="18" t="n">
        <v>7</v>
      </c>
      <c r="P127" s="18" t="n">
        <v>4</v>
      </c>
      <c r="Q127" s="22" t="n">
        <v>1200</v>
      </c>
      <c r="R127" s="18" t="n">
        <v>8</v>
      </c>
      <c r="S127" s="18" t="n">
        <v>7</v>
      </c>
      <c r="T127" s="19" t="s">
        <v>207</v>
      </c>
      <c r="U127" s="18" t="s">
        <v>147</v>
      </c>
      <c r="V127" s="18" t="n">
        <v>7.5</v>
      </c>
      <c r="W127" s="18" t="n">
        <v>9.5</v>
      </c>
      <c r="X127" s="18" t="n">
        <v>6.5</v>
      </c>
      <c r="Y127" s="23" t="s">
        <v>56</v>
      </c>
      <c r="Z127" s="24" t="s">
        <v>57</v>
      </c>
      <c r="AA127" s="25" t="n">
        <f aca="false">ROUND(K127*0.12 + I127*0.08 + J127*0.07 + L127*0.06 + M127*0.06 + N127*0.08 + O127*0.06 + R127*0.09 + S127*0.04 + V127*0.13 + W127*0.11 + X127*0.08 + (I127+J127)/2*0.02, 2)</f>
        <v>7.98</v>
      </c>
    </row>
    <row r="128" customFormat="false" ht="15" hidden="false" customHeight="true" outlineLevel="0" collapsed="false">
      <c r="A128" s="8" t="n">
        <v>125</v>
      </c>
      <c r="B128" s="9" t="s">
        <v>504</v>
      </c>
      <c r="C128" s="9" t="s">
        <v>580</v>
      </c>
      <c r="D128" s="9" t="s">
        <v>581</v>
      </c>
      <c r="E128" s="10" t="s">
        <v>582</v>
      </c>
      <c r="F128" s="11" t="s">
        <v>583</v>
      </c>
      <c r="G128" s="9" t="s">
        <v>584</v>
      </c>
      <c r="H128" s="12" t="s">
        <v>202</v>
      </c>
      <c r="I128" s="30" t="n">
        <v>8.5</v>
      </c>
      <c r="J128" s="30" t="n">
        <v>8.5</v>
      </c>
      <c r="K128" s="8" t="n">
        <v>9</v>
      </c>
      <c r="L128" s="8" t="n">
        <v>6</v>
      </c>
      <c r="M128" s="8" t="n">
        <v>6</v>
      </c>
      <c r="N128" s="8" t="n">
        <v>9</v>
      </c>
      <c r="O128" s="8" t="n">
        <v>9</v>
      </c>
      <c r="P128" s="8" t="n">
        <v>4</v>
      </c>
      <c r="Q128" s="14" t="n">
        <v>300</v>
      </c>
      <c r="R128" s="8" t="n">
        <v>6</v>
      </c>
      <c r="S128" s="8" t="n">
        <v>7</v>
      </c>
      <c r="T128" s="9" t="s">
        <v>43</v>
      </c>
      <c r="U128" s="8" t="s">
        <v>533</v>
      </c>
      <c r="V128" s="8" t="n">
        <v>8.5</v>
      </c>
      <c r="W128" s="8" t="n">
        <v>7.5</v>
      </c>
      <c r="X128" s="8" t="n">
        <v>9.5</v>
      </c>
      <c r="Y128" s="26" t="s">
        <v>50</v>
      </c>
      <c r="Z128" s="16" t="s">
        <v>168</v>
      </c>
      <c r="AA128" s="17" t="n">
        <f aca="false">ROUND(K128*0.12 + I128*0.08 + J128*0.07 + L128*0.06 + M128*0.06 + N128*0.08 + O128*0.06 + R128*0.09 + S128*0.04 + V128*0.13 + W128*0.11 + X128*0.08 + (I128+J128)/2*0.02, 2)</f>
        <v>8.02</v>
      </c>
    </row>
    <row r="129" customFormat="false" ht="15" hidden="false" customHeight="true" outlineLevel="0" collapsed="false">
      <c r="A129" s="18" t="n">
        <v>126</v>
      </c>
      <c r="B129" s="19" t="s">
        <v>504</v>
      </c>
      <c r="C129" s="19" t="s">
        <v>580</v>
      </c>
      <c r="D129" s="19" t="s">
        <v>585</v>
      </c>
      <c r="E129" s="20" t="s">
        <v>586</v>
      </c>
      <c r="F129" s="21" t="s">
        <v>587</v>
      </c>
      <c r="G129" s="19" t="s">
        <v>588</v>
      </c>
      <c r="H129" s="12" t="s">
        <v>202</v>
      </c>
      <c r="I129" s="30" t="n">
        <v>8.5</v>
      </c>
      <c r="J129" s="30" t="n">
        <v>8.5</v>
      </c>
      <c r="K129" s="18" t="n">
        <v>9.2</v>
      </c>
      <c r="L129" s="18" t="n">
        <v>4</v>
      </c>
      <c r="M129" s="18" t="n">
        <v>3</v>
      </c>
      <c r="N129" s="18" t="n">
        <v>9</v>
      </c>
      <c r="O129" s="18" t="n">
        <v>8</v>
      </c>
      <c r="P129" s="18" t="n">
        <v>5</v>
      </c>
      <c r="Q129" s="22" t="n">
        <v>300</v>
      </c>
      <c r="R129" s="18" t="n">
        <v>5</v>
      </c>
      <c r="S129" s="18" t="n">
        <v>5</v>
      </c>
      <c r="T129" s="19" t="s">
        <v>65</v>
      </c>
      <c r="U129" s="18" t="s">
        <v>550</v>
      </c>
      <c r="V129" s="18" t="n">
        <v>9</v>
      </c>
      <c r="W129" s="18" t="n">
        <v>6</v>
      </c>
      <c r="X129" s="18" t="n">
        <v>9.5</v>
      </c>
      <c r="Y129" s="29" t="s">
        <v>96</v>
      </c>
      <c r="Z129" s="24" t="s">
        <v>589</v>
      </c>
      <c r="AA129" s="25" t="n">
        <f aca="false">ROUND(K129*0.12 + I129*0.08 + J129*0.07 + L129*0.06 + M129*0.06 + N129*0.08 + O129*0.06 + R129*0.09 + S129*0.04 + V129*0.13 + W129*0.11 + X129*0.08 + (I129+J129)/2*0.02, 2)</f>
        <v>7.41</v>
      </c>
    </row>
    <row r="130" customFormat="false" ht="15" hidden="false" customHeight="true" outlineLevel="0" collapsed="false">
      <c r="A130" s="8" t="n">
        <v>127</v>
      </c>
      <c r="B130" s="9" t="s">
        <v>504</v>
      </c>
      <c r="C130" s="9" t="s">
        <v>580</v>
      </c>
      <c r="D130" s="9" t="s">
        <v>590</v>
      </c>
      <c r="E130" s="10" t="s">
        <v>591</v>
      </c>
      <c r="F130" s="11" t="s">
        <v>592</v>
      </c>
      <c r="G130" s="9" t="s">
        <v>449</v>
      </c>
      <c r="H130" s="12" t="s">
        <v>202</v>
      </c>
      <c r="I130" s="30" t="n">
        <v>8.5</v>
      </c>
      <c r="J130" s="30" t="n">
        <v>8.5</v>
      </c>
      <c r="K130" s="8" t="n">
        <v>8.5</v>
      </c>
      <c r="L130" s="8" t="n">
        <v>5</v>
      </c>
      <c r="M130" s="8" t="n">
        <v>5</v>
      </c>
      <c r="N130" s="8" t="n">
        <v>9</v>
      </c>
      <c r="O130" s="8" t="n">
        <v>7</v>
      </c>
      <c r="P130" s="8" t="n">
        <v>5</v>
      </c>
      <c r="Q130" s="14" t="n">
        <v>250</v>
      </c>
      <c r="R130" s="8" t="n">
        <v>5</v>
      </c>
      <c r="S130" s="8" t="n">
        <v>6</v>
      </c>
      <c r="T130" s="9" t="s">
        <v>122</v>
      </c>
      <c r="U130" s="8" t="s">
        <v>179</v>
      </c>
      <c r="V130" s="8" t="n">
        <v>8</v>
      </c>
      <c r="W130" s="8" t="n">
        <v>6.5</v>
      </c>
      <c r="X130" s="8" t="n">
        <v>10</v>
      </c>
      <c r="Y130" s="29" t="s">
        <v>96</v>
      </c>
      <c r="Z130" s="16" t="s">
        <v>124</v>
      </c>
      <c r="AA130" s="17" t="n">
        <f aca="false">ROUND(K130*0.12 + I130*0.08 + J130*0.07 + L130*0.06 + M130*0.06 + N130*0.08 + O130*0.06 + R130*0.09 + S130*0.04 + V130*0.13 + W130*0.11 + X130*0.08 + (I130+J130)/2*0.02, 2)</f>
        <v>7.45</v>
      </c>
    </row>
    <row r="131" customFormat="false" ht="15" hidden="false" customHeight="true" outlineLevel="0" collapsed="false">
      <c r="A131" s="18" t="n">
        <v>128</v>
      </c>
      <c r="B131" s="19" t="s">
        <v>504</v>
      </c>
      <c r="C131" s="19" t="s">
        <v>580</v>
      </c>
      <c r="D131" s="19" t="s">
        <v>593</v>
      </c>
      <c r="E131" s="20" t="s">
        <v>594</v>
      </c>
      <c r="F131" s="21" t="s">
        <v>595</v>
      </c>
      <c r="G131" s="19" t="s">
        <v>192</v>
      </c>
      <c r="H131" s="12" t="s">
        <v>202</v>
      </c>
      <c r="I131" s="30" t="n">
        <v>8.5</v>
      </c>
      <c r="J131" s="30" t="n">
        <v>8.5</v>
      </c>
      <c r="K131" s="18" t="n">
        <v>8.3</v>
      </c>
      <c r="L131" s="18" t="n">
        <v>5</v>
      </c>
      <c r="M131" s="18" t="n">
        <v>5</v>
      </c>
      <c r="N131" s="18" t="n">
        <v>7</v>
      </c>
      <c r="O131" s="18" t="n">
        <v>7</v>
      </c>
      <c r="P131" s="18" t="n">
        <v>4</v>
      </c>
      <c r="Q131" s="22" t="n">
        <v>250</v>
      </c>
      <c r="R131" s="18" t="n">
        <v>5</v>
      </c>
      <c r="S131" s="18" t="n">
        <v>7</v>
      </c>
      <c r="T131" s="19" t="s">
        <v>43</v>
      </c>
      <c r="U131" s="18" t="s">
        <v>533</v>
      </c>
      <c r="V131" s="18" t="n">
        <v>8.5</v>
      </c>
      <c r="W131" s="18" t="n">
        <v>6.5</v>
      </c>
      <c r="X131" s="18" t="n">
        <v>9.5</v>
      </c>
      <c r="Y131" s="26" t="s">
        <v>50</v>
      </c>
      <c r="Z131" s="24" t="s">
        <v>51</v>
      </c>
      <c r="AA131" s="25" t="n">
        <f aca="false">ROUND(K131*0.12 + I131*0.08 + J131*0.07 + L131*0.06 + M131*0.06 + N131*0.08 + O131*0.06 + R131*0.09 + S131*0.04 + V131*0.13 + W131*0.11 + X131*0.08 + (I131+J131)/2*0.02, 2)</f>
        <v>7.33</v>
      </c>
    </row>
    <row r="132" customFormat="false" ht="15" hidden="false" customHeight="true" outlineLevel="0" collapsed="false">
      <c r="A132" s="8" t="n">
        <v>129</v>
      </c>
      <c r="B132" s="9" t="s">
        <v>504</v>
      </c>
      <c r="C132" s="9" t="s">
        <v>596</v>
      </c>
      <c r="D132" s="9" t="s">
        <v>597</v>
      </c>
      <c r="E132" s="10" t="s">
        <v>598</v>
      </c>
      <c r="F132" s="11" t="s">
        <v>599</v>
      </c>
      <c r="G132" s="9" t="s">
        <v>600</v>
      </c>
      <c r="H132" s="12" t="s">
        <v>202</v>
      </c>
      <c r="I132" s="30" t="n">
        <v>8.5</v>
      </c>
      <c r="J132" s="30" t="n">
        <v>8.5</v>
      </c>
      <c r="K132" s="8" t="n">
        <v>8.5</v>
      </c>
      <c r="L132" s="8" t="n">
        <v>6</v>
      </c>
      <c r="M132" s="8" t="n">
        <v>6</v>
      </c>
      <c r="N132" s="8" t="n">
        <v>8</v>
      </c>
      <c r="O132" s="8" t="n">
        <v>9</v>
      </c>
      <c r="P132" s="8" t="n">
        <v>3</v>
      </c>
      <c r="Q132" s="14" t="n">
        <v>250</v>
      </c>
      <c r="R132" s="8" t="n">
        <v>5</v>
      </c>
      <c r="S132" s="8" t="n">
        <v>7</v>
      </c>
      <c r="T132" s="9" t="s">
        <v>94</v>
      </c>
      <c r="U132" s="8" t="s">
        <v>95</v>
      </c>
      <c r="V132" s="8" t="n">
        <v>8</v>
      </c>
      <c r="W132" s="8" t="n">
        <v>7</v>
      </c>
      <c r="X132" s="8" t="n">
        <v>9.5</v>
      </c>
      <c r="Y132" s="23" t="s">
        <v>45</v>
      </c>
      <c r="Z132" s="16" t="s">
        <v>46</v>
      </c>
      <c r="AA132" s="17" t="n">
        <f aca="false">ROUND(K132*0.12 + I132*0.08 + J132*0.07 + L132*0.06 + M132*0.06 + N132*0.08 + O132*0.06 + R132*0.09 + S132*0.04 + V132*0.13 + W132*0.11 + X132*0.08 + (I132+J132)/2*0.02, 2)</f>
        <v>7.67</v>
      </c>
    </row>
    <row r="133" customFormat="false" ht="15" hidden="false" customHeight="true" outlineLevel="0" collapsed="false">
      <c r="A133" s="18" t="n">
        <v>130</v>
      </c>
      <c r="B133" s="19" t="s">
        <v>504</v>
      </c>
      <c r="C133" s="19" t="s">
        <v>596</v>
      </c>
      <c r="D133" s="19" t="s">
        <v>601</v>
      </c>
      <c r="E133" s="20" t="s">
        <v>602</v>
      </c>
      <c r="F133" s="21" t="s">
        <v>603</v>
      </c>
      <c r="G133" s="19" t="s">
        <v>34</v>
      </c>
      <c r="H133" s="12" t="s">
        <v>202</v>
      </c>
      <c r="I133" s="30" t="n">
        <v>8.5</v>
      </c>
      <c r="J133" s="30" t="n">
        <v>8.5</v>
      </c>
      <c r="K133" s="18" t="n">
        <v>8.8</v>
      </c>
      <c r="L133" s="18" t="n">
        <v>5</v>
      </c>
      <c r="M133" s="18" t="n">
        <v>5</v>
      </c>
      <c r="N133" s="18" t="n">
        <v>8</v>
      </c>
      <c r="O133" s="18" t="n">
        <v>8</v>
      </c>
      <c r="P133" s="18" t="n">
        <v>4</v>
      </c>
      <c r="Q133" s="22" t="n">
        <v>250</v>
      </c>
      <c r="R133" s="18" t="n">
        <v>5</v>
      </c>
      <c r="S133" s="18" t="n">
        <v>7</v>
      </c>
      <c r="T133" s="19" t="s">
        <v>94</v>
      </c>
      <c r="U133" s="18" t="s">
        <v>457</v>
      </c>
      <c r="V133" s="18" t="n">
        <v>9.5</v>
      </c>
      <c r="W133" s="18" t="n">
        <v>6.5</v>
      </c>
      <c r="X133" s="18" t="n">
        <v>9.5</v>
      </c>
      <c r="Y133" s="26" t="s">
        <v>50</v>
      </c>
      <c r="Z133" s="24" t="s">
        <v>51</v>
      </c>
      <c r="AA133" s="25" t="n">
        <f aca="false">ROUND(K133*0.12 + I133*0.08 + J133*0.07 + L133*0.06 + M133*0.06 + N133*0.08 + O133*0.06 + R133*0.09 + S133*0.04 + V133*0.13 + W133*0.11 + X133*0.08 + (I133+J133)/2*0.02, 2)</f>
        <v>7.66</v>
      </c>
    </row>
    <row r="134" customFormat="false" ht="15" hidden="false" customHeight="true" outlineLevel="0" collapsed="false">
      <c r="A134" s="8" t="n">
        <v>131</v>
      </c>
      <c r="B134" s="9" t="s">
        <v>604</v>
      </c>
      <c r="C134" s="9" t="s">
        <v>605</v>
      </c>
      <c r="D134" s="9" t="s">
        <v>606</v>
      </c>
      <c r="E134" s="10" t="s">
        <v>607</v>
      </c>
      <c r="F134" s="11" t="s">
        <v>608</v>
      </c>
      <c r="G134" s="9" t="s">
        <v>609</v>
      </c>
      <c r="H134" s="12" t="s">
        <v>202</v>
      </c>
      <c r="I134" s="30" t="n">
        <v>7.5</v>
      </c>
      <c r="J134" s="30" t="n">
        <v>7.5</v>
      </c>
      <c r="K134" s="8" t="n">
        <v>8.8</v>
      </c>
      <c r="L134" s="8" t="n">
        <v>4</v>
      </c>
      <c r="M134" s="8" t="n">
        <v>3</v>
      </c>
      <c r="N134" s="8" t="n">
        <v>8</v>
      </c>
      <c r="O134" s="8" t="n">
        <v>7</v>
      </c>
      <c r="P134" s="8" t="n">
        <v>5</v>
      </c>
      <c r="Q134" s="14" t="n">
        <v>400</v>
      </c>
      <c r="R134" s="8" t="n">
        <v>5</v>
      </c>
      <c r="S134" s="8" t="n">
        <v>4</v>
      </c>
      <c r="T134" s="9" t="s">
        <v>94</v>
      </c>
      <c r="U134" s="8" t="s">
        <v>457</v>
      </c>
      <c r="V134" s="8" t="n">
        <v>8.5</v>
      </c>
      <c r="W134" s="8" t="n">
        <v>6</v>
      </c>
      <c r="X134" s="8" t="n">
        <v>8.5</v>
      </c>
      <c r="Y134" s="29" t="s">
        <v>96</v>
      </c>
      <c r="Z134" s="16" t="s">
        <v>610</v>
      </c>
      <c r="AA134" s="17" t="n">
        <f aca="false">ROUND(K134*0.12 + I134*0.08 + J134*0.07 + L134*0.06 + M134*0.06 + N134*0.08 + O134*0.06 + R134*0.09 + S134*0.04 + V134*0.13 + W134*0.11 + X134*0.08 + (I134+J134)/2*0.02, 2)</f>
        <v>6.87</v>
      </c>
    </row>
    <row r="135" customFormat="false" ht="15" hidden="false" customHeight="true" outlineLevel="0" collapsed="false">
      <c r="A135" s="18" t="n">
        <v>132</v>
      </c>
      <c r="B135" s="19" t="s">
        <v>604</v>
      </c>
      <c r="C135" s="19" t="s">
        <v>605</v>
      </c>
      <c r="D135" s="19" t="s">
        <v>606</v>
      </c>
      <c r="E135" s="20" t="s">
        <v>611</v>
      </c>
      <c r="F135" s="21" t="s">
        <v>612</v>
      </c>
      <c r="G135" s="19" t="s">
        <v>489</v>
      </c>
      <c r="H135" s="12" t="s">
        <v>202</v>
      </c>
      <c r="I135" s="30" t="n">
        <v>7.5</v>
      </c>
      <c r="J135" s="30" t="n">
        <v>7.5</v>
      </c>
      <c r="K135" s="18" t="n">
        <v>9</v>
      </c>
      <c r="L135" s="18" t="n">
        <v>5</v>
      </c>
      <c r="M135" s="18" t="n">
        <v>3</v>
      </c>
      <c r="N135" s="18" t="n">
        <v>9</v>
      </c>
      <c r="O135" s="18" t="n">
        <v>8</v>
      </c>
      <c r="P135" s="18" t="n">
        <v>3</v>
      </c>
      <c r="Q135" s="22" t="n">
        <v>400</v>
      </c>
      <c r="R135" s="18" t="n">
        <v>5</v>
      </c>
      <c r="S135" s="18" t="n">
        <v>4</v>
      </c>
      <c r="T135" s="19" t="s">
        <v>65</v>
      </c>
      <c r="U135" s="18" t="s">
        <v>550</v>
      </c>
      <c r="V135" s="18" t="n">
        <v>8.5</v>
      </c>
      <c r="W135" s="18" t="n">
        <v>5.5</v>
      </c>
      <c r="X135" s="18" t="n">
        <v>8.5</v>
      </c>
      <c r="Y135" s="26" t="s">
        <v>50</v>
      </c>
      <c r="Z135" s="24" t="s">
        <v>613</v>
      </c>
      <c r="AA135" s="25" t="n">
        <f aca="false">ROUND(K135*0.12 + I135*0.08 + J135*0.07 + L135*0.06 + M135*0.06 + N135*0.08 + O135*0.06 + R135*0.09 + S135*0.04 + V135*0.13 + W135*0.11 + X135*0.08 + (I135+J135)/2*0.02, 2)</f>
        <v>7.04</v>
      </c>
    </row>
    <row r="136" customFormat="false" ht="15" hidden="false" customHeight="true" outlineLevel="0" collapsed="false">
      <c r="A136" s="8" t="n">
        <v>133</v>
      </c>
      <c r="B136" s="9" t="s">
        <v>604</v>
      </c>
      <c r="C136" s="9" t="s">
        <v>605</v>
      </c>
      <c r="D136" s="9" t="s">
        <v>614</v>
      </c>
      <c r="E136" s="10" t="s">
        <v>615</v>
      </c>
      <c r="F136" s="11" t="s">
        <v>616</v>
      </c>
      <c r="G136" s="9" t="s">
        <v>617</v>
      </c>
      <c r="H136" s="12" t="s">
        <v>202</v>
      </c>
      <c r="I136" s="30" t="n">
        <v>7.5</v>
      </c>
      <c r="J136" s="30" t="n">
        <v>7.5</v>
      </c>
      <c r="K136" s="8" t="n">
        <v>8</v>
      </c>
      <c r="L136" s="8" t="n">
        <v>7</v>
      </c>
      <c r="M136" s="8" t="n">
        <v>6</v>
      </c>
      <c r="N136" s="8" t="n">
        <v>7</v>
      </c>
      <c r="O136" s="8" t="n">
        <v>7</v>
      </c>
      <c r="P136" s="8" t="n">
        <v>3</v>
      </c>
      <c r="Q136" s="14" t="n">
        <v>500</v>
      </c>
      <c r="R136" s="8" t="n">
        <v>6</v>
      </c>
      <c r="S136" s="8" t="n">
        <v>5</v>
      </c>
      <c r="T136" s="9" t="s">
        <v>65</v>
      </c>
      <c r="U136" s="8" t="s">
        <v>348</v>
      </c>
      <c r="V136" s="8" t="n">
        <v>7</v>
      </c>
      <c r="W136" s="8" t="n">
        <v>8</v>
      </c>
      <c r="X136" s="8" t="n">
        <v>7.5</v>
      </c>
      <c r="Y136" s="23" t="s">
        <v>45</v>
      </c>
      <c r="Z136" s="16" t="s">
        <v>46</v>
      </c>
      <c r="AA136" s="17" t="n">
        <f aca="false">ROUND(K136*0.12 + I136*0.08 + J136*0.07 + L136*0.06 + M136*0.06 + N136*0.08 + O136*0.06 + R136*0.09 + S136*0.04 + V136*0.13 + W136*0.11 + X136*0.08 + (I136+J136)/2*0.02, 2)</f>
        <v>7.13</v>
      </c>
    </row>
    <row r="137" customFormat="false" ht="15" hidden="false" customHeight="true" outlineLevel="0" collapsed="false">
      <c r="A137" s="18" t="n">
        <v>134</v>
      </c>
      <c r="B137" s="19" t="s">
        <v>604</v>
      </c>
      <c r="C137" s="19" t="s">
        <v>605</v>
      </c>
      <c r="D137" s="19" t="s">
        <v>618</v>
      </c>
      <c r="E137" s="20" t="s">
        <v>619</v>
      </c>
      <c r="F137" s="21" t="s">
        <v>620</v>
      </c>
      <c r="G137" s="19" t="s">
        <v>34</v>
      </c>
      <c r="H137" s="12" t="s">
        <v>202</v>
      </c>
      <c r="I137" s="30" t="n">
        <v>7.5</v>
      </c>
      <c r="J137" s="30" t="n">
        <v>7.5</v>
      </c>
      <c r="K137" s="18" t="n">
        <v>8.5</v>
      </c>
      <c r="L137" s="18" t="n">
        <v>4</v>
      </c>
      <c r="M137" s="18" t="n">
        <v>5</v>
      </c>
      <c r="N137" s="18" t="n">
        <v>7</v>
      </c>
      <c r="O137" s="18" t="n">
        <v>7</v>
      </c>
      <c r="P137" s="18" t="n">
        <v>2</v>
      </c>
      <c r="Q137" s="22" t="n">
        <v>350</v>
      </c>
      <c r="R137" s="18" t="n">
        <v>5</v>
      </c>
      <c r="S137" s="18" t="n">
        <v>5</v>
      </c>
      <c r="T137" s="19" t="s">
        <v>43</v>
      </c>
      <c r="U137" s="18" t="s">
        <v>184</v>
      </c>
      <c r="V137" s="18" t="n">
        <v>9.5</v>
      </c>
      <c r="W137" s="18" t="n">
        <v>6.5</v>
      </c>
      <c r="X137" s="18" t="n">
        <v>8.5</v>
      </c>
      <c r="Y137" s="26" t="s">
        <v>50</v>
      </c>
      <c r="Z137" s="24" t="s">
        <v>51</v>
      </c>
      <c r="AA137" s="25" t="n">
        <f aca="false">ROUND(K137*0.12 + I137*0.08 + J137*0.07 + L137*0.06 + M137*0.06 + N137*0.08 + O137*0.06 + R137*0.09 + S137*0.04 + V137*0.13 + W137*0.11 + X137*0.08 + (I137+J137)/2*0.02, 2)</f>
        <v>7.1</v>
      </c>
    </row>
    <row r="138" customFormat="false" ht="26.25" hidden="false" customHeight="true" outlineLevel="0" collapsed="false">
      <c r="A138" s="8" t="n">
        <v>135</v>
      </c>
      <c r="B138" s="9" t="s">
        <v>604</v>
      </c>
      <c r="C138" s="9" t="s">
        <v>621</v>
      </c>
      <c r="D138" s="9" t="s">
        <v>622</v>
      </c>
      <c r="E138" s="10" t="s">
        <v>623</v>
      </c>
      <c r="F138" s="11" t="s">
        <v>624</v>
      </c>
      <c r="G138" s="9" t="s">
        <v>34</v>
      </c>
      <c r="H138" s="12" t="s">
        <v>35</v>
      </c>
      <c r="I138" s="30" t="n">
        <v>8</v>
      </c>
      <c r="J138" s="30" t="n">
        <v>8</v>
      </c>
      <c r="K138" s="8" t="n">
        <v>9.5</v>
      </c>
      <c r="L138" s="8" t="n">
        <v>5</v>
      </c>
      <c r="M138" s="8" t="n">
        <v>5</v>
      </c>
      <c r="N138" s="8" t="n">
        <v>9</v>
      </c>
      <c r="O138" s="8" t="n">
        <v>9</v>
      </c>
      <c r="P138" s="8" t="n">
        <v>4</v>
      </c>
      <c r="Q138" s="14" t="n">
        <v>250</v>
      </c>
      <c r="R138" s="8" t="n">
        <v>5</v>
      </c>
      <c r="S138" s="8" t="n">
        <v>6</v>
      </c>
      <c r="T138" s="9" t="s">
        <v>43</v>
      </c>
      <c r="U138" s="8" t="s">
        <v>184</v>
      </c>
      <c r="V138" s="8" t="n">
        <v>10</v>
      </c>
      <c r="W138" s="8" t="n">
        <v>7</v>
      </c>
      <c r="X138" s="8" t="n">
        <v>9.5</v>
      </c>
      <c r="Y138" s="26" t="s">
        <v>50</v>
      </c>
      <c r="Z138" s="16" t="s">
        <v>51</v>
      </c>
      <c r="AA138" s="17" t="n">
        <f aca="false">ROUND(K138*0.12 + I138*0.08 + J138*0.07 + L138*0.06 + M138*0.06 + N138*0.08 + O138*0.06 + R138*0.09 + S138*0.04 + V138*0.13 + W138*0.11 + X138*0.08 + (I138+J138)/2*0.02, 2)</f>
        <v>7.88</v>
      </c>
    </row>
    <row r="139" customFormat="false" ht="26.25" hidden="false" customHeight="true" outlineLevel="0" collapsed="false">
      <c r="A139" s="18" t="n">
        <v>136</v>
      </c>
      <c r="B139" s="19" t="s">
        <v>604</v>
      </c>
      <c r="C139" s="19" t="s">
        <v>621</v>
      </c>
      <c r="D139" s="19" t="s">
        <v>625</v>
      </c>
      <c r="E139" s="20" t="s">
        <v>626</v>
      </c>
      <c r="F139" s="21" t="s">
        <v>627</v>
      </c>
      <c r="G139" s="19" t="s">
        <v>34</v>
      </c>
      <c r="H139" s="12" t="s">
        <v>35</v>
      </c>
      <c r="I139" s="30" t="n">
        <v>8</v>
      </c>
      <c r="J139" s="30" t="n">
        <v>8</v>
      </c>
      <c r="K139" s="18" t="n">
        <v>9.2</v>
      </c>
      <c r="L139" s="18" t="n">
        <v>5</v>
      </c>
      <c r="M139" s="18" t="n">
        <v>5</v>
      </c>
      <c r="N139" s="18" t="n">
        <v>8</v>
      </c>
      <c r="O139" s="18" t="n">
        <v>9</v>
      </c>
      <c r="P139" s="18" t="n">
        <v>5</v>
      </c>
      <c r="Q139" s="22" t="n">
        <v>200</v>
      </c>
      <c r="R139" s="18" t="n">
        <v>5</v>
      </c>
      <c r="S139" s="18" t="n">
        <v>6</v>
      </c>
      <c r="T139" s="19" t="s">
        <v>43</v>
      </c>
      <c r="U139" s="18" t="s">
        <v>184</v>
      </c>
      <c r="V139" s="18" t="n">
        <v>10</v>
      </c>
      <c r="W139" s="18" t="n">
        <v>6.5</v>
      </c>
      <c r="X139" s="18" t="n">
        <v>9.5</v>
      </c>
      <c r="Y139" s="29" t="s">
        <v>96</v>
      </c>
      <c r="Z139" s="24" t="s">
        <v>124</v>
      </c>
      <c r="AA139" s="25" t="n">
        <f aca="false">ROUND(K139*0.12 + I139*0.08 + J139*0.07 + L139*0.06 + M139*0.06 + N139*0.08 + O139*0.06 + R139*0.09 + S139*0.04 + V139*0.13 + W139*0.11 + X139*0.08 + (I139+J139)/2*0.02, 2)</f>
        <v>7.71</v>
      </c>
    </row>
    <row r="140" customFormat="false" ht="26.25" hidden="false" customHeight="true" outlineLevel="0" collapsed="false">
      <c r="A140" s="8" t="n">
        <v>137</v>
      </c>
      <c r="B140" s="9" t="s">
        <v>604</v>
      </c>
      <c r="C140" s="9" t="s">
        <v>621</v>
      </c>
      <c r="D140" s="9" t="s">
        <v>628</v>
      </c>
      <c r="E140" s="10" t="s">
        <v>629</v>
      </c>
      <c r="F140" s="11" t="s">
        <v>630</v>
      </c>
      <c r="G140" s="9" t="s">
        <v>553</v>
      </c>
      <c r="H140" s="12" t="s">
        <v>35</v>
      </c>
      <c r="I140" s="30" t="n">
        <v>8</v>
      </c>
      <c r="J140" s="30" t="n">
        <v>8</v>
      </c>
      <c r="K140" s="8" t="n">
        <v>9</v>
      </c>
      <c r="L140" s="8" t="n">
        <v>5</v>
      </c>
      <c r="M140" s="8" t="n">
        <v>5</v>
      </c>
      <c r="N140" s="8" t="n">
        <v>8</v>
      </c>
      <c r="O140" s="8" t="n">
        <v>8</v>
      </c>
      <c r="P140" s="8" t="n">
        <v>4</v>
      </c>
      <c r="Q140" s="14" t="n">
        <v>200</v>
      </c>
      <c r="R140" s="8" t="n">
        <v>4</v>
      </c>
      <c r="S140" s="8" t="n">
        <v>6</v>
      </c>
      <c r="T140" s="9" t="s">
        <v>43</v>
      </c>
      <c r="U140" s="8" t="s">
        <v>184</v>
      </c>
      <c r="V140" s="8" t="n">
        <v>9.5</v>
      </c>
      <c r="W140" s="8" t="n">
        <v>6</v>
      </c>
      <c r="X140" s="8" t="n">
        <v>10</v>
      </c>
      <c r="Y140" s="26" t="s">
        <v>50</v>
      </c>
      <c r="Z140" s="16" t="s">
        <v>51</v>
      </c>
      <c r="AA140" s="17" t="n">
        <f aca="false">ROUND(K140*0.12 + I140*0.08 + J140*0.07 + L140*0.06 + M140*0.06 + N140*0.08 + O140*0.06 + R140*0.09 + S140*0.04 + V140*0.13 + W140*0.11 + X140*0.08 + (I140+J140)/2*0.02, 2)</f>
        <v>7.46</v>
      </c>
    </row>
    <row r="141" customFormat="false" ht="26.25" hidden="false" customHeight="true" outlineLevel="0" collapsed="false">
      <c r="A141" s="18" t="n">
        <v>138</v>
      </c>
      <c r="B141" s="19" t="s">
        <v>604</v>
      </c>
      <c r="C141" s="19" t="s">
        <v>621</v>
      </c>
      <c r="D141" s="19" t="s">
        <v>631</v>
      </c>
      <c r="E141" s="20" t="s">
        <v>632</v>
      </c>
      <c r="F141" s="21" t="s">
        <v>633</v>
      </c>
      <c r="G141" s="19" t="s">
        <v>49</v>
      </c>
      <c r="H141" s="12" t="s">
        <v>35</v>
      </c>
      <c r="I141" s="30" t="n">
        <v>8</v>
      </c>
      <c r="J141" s="30" t="n">
        <v>8</v>
      </c>
      <c r="K141" s="18" t="n">
        <v>8.3</v>
      </c>
      <c r="L141" s="18" t="n">
        <v>5</v>
      </c>
      <c r="M141" s="18" t="n">
        <v>5</v>
      </c>
      <c r="N141" s="18" t="n">
        <v>7</v>
      </c>
      <c r="O141" s="18" t="n">
        <v>7</v>
      </c>
      <c r="P141" s="18" t="n">
        <v>2</v>
      </c>
      <c r="Q141" s="22" t="n">
        <v>250</v>
      </c>
      <c r="R141" s="18" t="n">
        <v>6</v>
      </c>
      <c r="S141" s="18" t="n">
        <v>7</v>
      </c>
      <c r="T141" s="19" t="s">
        <v>43</v>
      </c>
      <c r="U141" s="18" t="s">
        <v>184</v>
      </c>
      <c r="V141" s="18" t="n">
        <v>8</v>
      </c>
      <c r="W141" s="18" t="n">
        <v>7</v>
      </c>
      <c r="X141" s="18" t="n">
        <v>8.5</v>
      </c>
      <c r="Y141" s="26" t="s">
        <v>50</v>
      </c>
      <c r="Z141" s="24" t="s">
        <v>51</v>
      </c>
      <c r="AA141" s="25" t="n">
        <f aca="false">ROUND(K141*0.12 + I141*0.08 + J141*0.07 + L141*0.06 + M141*0.06 + N141*0.08 + O141*0.06 + R141*0.09 + S141*0.04 + V141*0.13 + W141*0.11 + X141*0.08 + (I141+J141)/2*0.02, 2)</f>
        <v>7.25</v>
      </c>
    </row>
    <row r="142" customFormat="false" ht="26.25" hidden="false" customHeight="true" outlineLevel="0" collapsed="false">
      <c r="A142" s="8" t="n">
        <v>139</v>
      </c>
      <c r="B142" s="9" t="s">
        <v>604</v>
      </c>
      <c r="C142" s="9" t="s">
        <v>621</v>
      </c>
      <c r="D142" s="9" t="s">
        <v>634</v>
      </c>
      <c r="E142" s="10" t="s">
        <v>635</v>
      </c>
      <c r="F142" s="11" t="s">
        <v>636</v>
      </c>
      <c r="G142" s="9" t="s">
        <v>489</v>
      </c>
      <c r="H142" s="12" t="s">
        <v>35</v>
      </c>
      <c r="I142" s="30" t="n">
        <v>8</v>
      </c>
      <c r="J142" s="30" t="n">
        <v>8</v>
      </c>
      <c r="K142" s="8" t="n">
        <v>8</v>
      </c>
      <c r="L142" s="8" t="n">
        <v>4</v>
      </c>
      <c r="M142" s="8" t="n">
        <v>3</v>
      </c>
      <c r="N142" s="8" t="n">
        <v>7</v>
      </c>
      <c r="O142" s="8" t="n">
        <v>7</v>
      </c>
      <c r="P142" s="8" t="n">
        <v>5</v>
      </c>
      <c r="Q142" s="14" t="n">
        <v>200</v>
      </c>
      <c r="R142" s="8" t="n">
        <v>3</v>
      </c>
      <c r="S142" s="8" t="n">
        <v>4</v>
      </c>
      <c r="T142" s="9" t="s">
        <v>43</v>
      </c>
      <c r="U142" s="8" t="s">
        <v>184</v>
      </c>
      <c r="V142" s="8" t="n">
        <v>7.5</v>
      </c>
      <c r="W142" s="8" t="n">
        <v>5</v>
      </c>
      <c r="X142" s="8" t="n">
        <v>9.5</v>
      </c>
      <c r="Y142" s="27" t="s">
        <v>67</v>
      </c>
      <c r="Z142" s="16" t="s">
        <v>295</v>
      </c>
      <c r="AA142" s="17" t="n">
        <f aca="false">ROUND(K142*0.12 + I142*0.08 + J142*0.07 + L142*0.06 + M142*0.06 + N142*0.08 + O142*0.06 + R142*0.09 + S142*0.04 + V142*0.13 + W142*0.11 + X142*0.08 + (I142+J142)/2*0.02, 2)</f>
        <v>6.44</v>
      </c>
    </row>
    <row r="143" customFormat="false" ht="26.25" hidden="false" customHeight="true" outlineLevel="0" collapsed="false">
      <c r="A143" s="18" t="n">
        <v>140</v>
      </c>
      <c r="B143" s="19" t="s">
        <v>604</v>
      </c>
      <c r="C143" s="19" t="s">
        <v>637</v>
      </c>
      <c r="D143" s="19" t="s">
        <v>638</v>
      </c>
      <c r="E143" s="20" t="s">
        <v>639</v>
      </c>
      <c r="F143" s="21" t="s">
        <v>640</v>
      </c>
      <c r="G143" s="19" t="s">
        <v>93</v>
      </c>
      <c r="H143" s="31" t="s">
        <v>307</v>
      </c>
      <c r="I143" s="32" t="n">
        <v>7</v>
      </c>
      <c r="J143" s="32" t="n">
        <v>6.5</v>
      </c>
      <c r="K143" s="18" t="n">
        <v>8.5</v>
      </c>
      <c r="L143" s="18" t="n">
        <v>4</v>
      </c>
      <c r="M143" s="18" t="n">
        <v>3</v>
      </c>
      <c r="N143" s="18" t="n">
        <v>7</v>
      </c>
      <c r="O143" s="18" t="n">
        <v>8</v>
      </c>
      <c r="P143" s="18" t="n">
        <v>5</v>
      </c>
      <c r="Q143" s="22" t="n">
        <v>200</v>
      </c>
      <c r="R143" s="18" t="n">
        <v>5</v>
      </c>
      <c r="S143" s="18" t="n">
        <v>5</v>
      </c>
      <c r="T143" s="19" t="s">
        <v>65</v>
      </c>
      <c r="U143" s="18" t="s">
        <v>550</v>
      </c>
      <c r="V143" s="18" t="n">
        <v>8</v>
      </c>
      <c r="W143" s="18" t="n">
        <v>5.5</v>
      </c>
      <c r="X143" s="18" t="n">
        <v>9.5</v>
      </c>
      <c r="Y143" s="27" t="s">
        <v>67</v>
      </c>
      <c r="Z143" s="24" t="s">
        <v>295</v>
      </c>
      <c r="AA143" s="25" t="n">
        <f aca="false">ROUND(K143*0.12 + I143*0.08 + J143*0.07 + L143*0.06 + M143*0.06 + N143*0.08 + O143*0.06 + R143*0.09 + S143*0.04 + V143*0.13 + W143*0.11 + X143*0.08 + (I143+J143)/2*0.02, 2)</f>
        <v>6.69</v>
      </c>
    </row>
    <row r="144" customFormat="false" ht="26.25" hidden="false" customHeight="true" outlineLevel="0" collapsed="false">
      <c r="A144" s="8" t="n">
        <v>141</v>
      </c>
      <c r="B144" s="9" t="s">
        <v>604</v>
      </c>
      <c r="C144" s="9" t="s">
        <v>637</v>
      </c>
      <c r="D144" s="9" t="s">
        <v>641</v>
      </c>
      <c r="E144" s="10" t="s">
        <v>641</v>
      </c>
      <c r="F144" s="11" t="s">
        <v>642</v>
      </c>
      <c r="G144" s="9" t="s">
        <v>489</v>
      </c>
      <c r="H144" s="31" t="s">
        <v>307</v>
      </c>
      <c r="I144" s="32" t="n">
        <v>7</v>
      </c>
      <c r="J144" s="32" t="n">
        <v>6.5</v>
      </c>
      <c r="K144" s="8" t="n">
        <v>9</v>
      </c>
      <c r="L144" s="8" t="n">
        <v>5</v>
      </c>
      <c r="M144" s="8" t="n">
        <v>4</v>
      </c>
      <c r="N144" s="8" t="n">
        <v>8</v>
      </c>
      <c r="O144" s="8" t="n">
        <v>7</v>
      </c>
      <c r="P144" s="8" t="n">
        <v>5</v>
      </c>
      <c r="Q144" s="14" t="n">
        <v>200</v>
      </c>
      <c r="R144" s="8" t="n">
        <v>4</v>
      </c>
      <c r="S144" s="8" t="n">
        <v>4</v>
      </c>
      <c r="T144" s="9" t="s">
        <v>65</v>
      </c>
      <c r="U144" s="8" t="s">
        <v>550</v>
      </c>
      <c r="V144" s="8" t="n">
        <v>9</v>
      </c>
      <c r="W144" s="8" t="n">
        <v>5.5</v>
      </c>
      <c r="X144" s="8" t="n">
        <v>9.5</v>
      </c>
      <c r="Y144" s="29" t="s">
        <v>96</v>
      </c>
      <c r="Z144" s="16" t="s">
        <v>220</v>
      </c>
      <c r="AA144" s="17" t="n">
        <f aca="false">ROUND(K144*0.12 + I144*0.08 + J144*0.07 + L144*0.06 + M144*0.06 + N144*0.08 + O144*0.06 + R144*0.09 + S144*0.04 + V144*0.13 + W144*0.11 + X144*0.08 + (I144+J144)/2*0.02, 2)</f>
        <v>6.89</v>
      </c>
    </row>
    <row r="145" customFormat="false" ht="26.25" hidden="false" customHeight="true" outlineLevel="0" collapsed="false">
      <c r="A145" s="18" t="n">
        <v>142</v>
      </c>
      <c r="B145" s="19" t="s">
        <v>604</v>
      </c>
      <c r="C145" s="19" t="s">
        <v>637</v>
      </c>
      <c r="D145" s="19" t="s">
        <v>643</v>
      </c>
      <c r="E145" s="20" t="s">
        <v>644</v>
      </c>
      <c r="F145" s="21" t="s">
        <v>645</v>
      </c>
      <c r="G145" s="19" t="s">
        <v>646</v>
      </c>
      <c r="H145" s="31" t="s">
        <v>307</v>
      </c>
      <c r="I145" s="32" t="n">
        <v>7</v>
      </c>
      <c r="J145" s="32" t="n">
        <v>6.5</v>
      </c>
      <c r="K145" s="18" t="n">
        <v>9</v>
      </c>
      <c r="L145" s="18" t="n">
        <v>3</v>
      </c>
      <c r="M145" s="18" t="n">
        <v>2</v>
      </c>
      <c r="N145" s="18" t="n">
        <v>8</v>
      </c>
      <c r="O145" s="18" t="n">
        <v>8</v>
      </c>
      <c r="P145" s="18" t="n">
        <v>5</v>
      </c>
      <c r="Q145" s="22" t="n">
        <v>150</v>
      </c>
      <c r="R145" s="18" t="n">
        <v>3</v>
      </c>
      <c r="S145" s="18" t="n">
        <v>3</v>
      </c>
      <c r="T145" s="19" t="s">
        <v>65</v>
      </c>
      <c r="U145" s="18" t="s">
        <v>76</v>
      </c>
      <c r="V145" s="18" t="n">
        <v>9</v>
      </c>
      <c r="W145" s="18" t="n">
        <v>4</v>
      </c>
      <c r="X145" s="18" t="n">
        <v>10</v>
      </c>
      <c r="Y145" s="27" t="s">
        <v>67</v>
      </c>
      <c r="Z145" s="24" t="s">
        <v>647</v>
      </c>
      <c r="AA145" s="25" t="n">
        <f aca="false">ROUND(K145*0.12 + I145*0.08 + J145*0.07 + L145*0.06 + M145*0.06 + N145*0.08 + O145*0.06 + R145*0.09 + S145*0.04 + V145*0.13 + W145*0.11 + X145*0.08 + (I145+J145)/2*0.02, 2)</f>
        <v>6.45</v>
      </c>
    </row>
    <row r="146" customFormat="false" ht="15" hidden="false" customHeight="true" outlineLevel="0" collapsed="false">
      <c r="A146" s="8" t="n">
        <v>143</v>
      </c>
      <c r="B146" s="9" t="s">
        <v>648</v>
      </c>
      <c r="C146" s="9" t="s">
        <v>649</v>
      </c>
      <c r="D146" s="9" t="s">
        <v>650</v>
      </c>
      <c r="E146" s="10" t="s">
        <v>651</v>
      </c>
      <c r="F146" s="11" t="s">
        <v>652</v>
      </c>
      <c r="G146" s="9" t="s">
        <v>34</v>
      </c>
      <c r="H146" s="12" t="s">
        <v>202</v>
      </c>
      <c r="I146" s="30" t="n">
        <v>8.5</v>
      </c>
      <c r="J146" s="30" t="n">
        <v>8.5</v>
      </c>
      <c r="K146" s="8" t="n">
        <v>8.5</v>
      </c>
      <c r="L146" s="8" t="n">
        <v>6</v>
      </c>
      <c r="M146" s="8" t="n">
        <v>6</v>
      </c>
      <c r="N146" s="8" t="n">
        <v>8</v>
      </c>
      <c r="O146" s="8" t="n">
        <v>9</v>
      </c>
      <c r="P146" s="8" t="n">
        <v>4</v>
      </c>
      <c r="Q146" s="14" t="n">
        <v>400</v>
      </c>
      <c r="R146" s="8" t="n">
        <v>7</v>
      </c>
      <c r="S146" s="8" t="n">
        <v>7</v>
      </c>
      <c r="T146" s="9" t="s">
        <v>114</v>
      </c>
      <c r="U146" s="8" t="s">
        <v>163</v>
      </c>
      <c r="V146" s="8" t="n">
        <v>8.5</v>
      </c>
      <c r="W146" s="8" t="n">
        <v>8</v>
      </c>
      <c r="X146" s="8" t="n">
        <v>9</v>
      </c>
      <c r="Y146" s="26" t="s">
        <v>50</v>
      </c>
      <c r="Z146" s="16" t="s">
        <v>168</v>
      </c>
      <c r="AA146" s="17" t="n">
        <f aca="false">ROUND(K146*0.12 + I146*0.08 + J146*0.07 + L146*0.06 + M146*0.06 + N146*0.08 + O146*0.06 + R146*0.09 + S146*0.04 + V146*0.13 + W146*0.11 + X146*0.08 + (I146+J146)/2*0.02, 2)</f>
        <v>7.98</v>
      </c>
    </row>
    <row r="147" customFormat="false" ht="15" hidden="false" customHeight="true" outlineLevel="0" collapsed="false">
      <c r="A147" s="18" t="n">
        <v>144</v>
      </c>
      <c r="B147" s="19" t="s">
        <v>648</v>
      </c>
      <c r="C147" s="19" t="s">
        <v>649</v>
      </c>
      <c r="D147" s="19" t="s">
        <v>653</v>
      </c>
      <c r="E147" s="20" t="s">
        <v>654</v>
      </c>
      <c r="F147" s="21" t="s">
        <v>655</v>
      </c>
      <c r="G147" s="19" t="s">
        <v>656</v>
      </c>
      <c r="H147" s="12" t="s">
        <v>202</v>
      </c>
      <c r="I147" s="30" t="n">
        <v>8.5</v>
      </c>
      <c r="J147" s="30" t="n">
        <v>8.5</v>
      </c>
      <c r="K147" s="18" t="n">
        <v>8.3</v>
      </c>
      <c r="L147" s="18" t="n">
        <v>5</v>
      </c>
      <c r="M147" s="18" t="n">
        <v>5</v>
      </c>
      <c r="N147" s="18" t="n">
        <v>8</v>
      </c>
      <c r="O147" s="18" t="n">
        <v>8</v>
      </c>
      <c r="P147" s="18" t="n">
        <v>3</v>
      </c>
      <c r="Q147" s="22" t="n">
        <v>350</v>
      </c>
      <c r="R147" s="18" t="n">
        <v>6</v>
      </c>
      <c r="S147" s="18" t="n">
        <v>7</v>
      </c>
      <c r="T147" s="19" t="s">
        <v>65</v>
      </c>
      <c r="U147" s="18" t="s">
        <v>550</v>
      </c>
      <c r="V147" s="18" t="n">
        <v>8</v>
      </c>
      <c r="W147" s="18" t="n">
        <v>7</v>
      </c>
      <c r="X147" s="18" t="n">
        <v>9</v>
      </c>
      <c r="Y147" s="26" t="s">
        <v>50</v>
      </c>
      <c r="Z147" s="24" t="s">
        <v>51</v>
      </c>
      <c r="AA147" s="25" t="n">
        <f aca="false">ROUND(K147*0.12 + I147*0.08 + J147*0.07 + L147*0.06 + M147*0.06 + N147*0.08 + O147*0.06 + R147*0.09 + S147*0.04 + V147*0.13 + W147*0.11 + X147*0.08 + (I147+J147)/2*0.02, 2)</f>
        <v>7.51</v>
      </c>
    </row>
    <row r="148" customFormat="false" ht="15" hidden="false" customHeight="true" outlineLevel="0" collapsed="false">
      <c r="A148" s="8" t="n">
        <v>145</v>
      </c>
      <c r="B148" s="9" t="s">
        <v>648</v>
      </c>
      <c r="C148" s="9" t="s">
        <v>649</v>
      </c>
      <c r="D148" s="9" t="s">
        <v>657</v>
      </c>
      <c r="E148" s="10" t="s">
        <v>658</v>
      </c>
      <c r="F148" s="11" t="s">
        <v>659</v>
      </c>
      <c r="G148" s="9" t="s">
        <v>660</v>
      </c>
      <c r="H148" s="12" t="s">
        <v>202</v>
      </c>
      <c r="I148" s="30" t="n">
        <v>8.5</v>
      </c>
      <c r="J148" s="30" t="n">
        <v>8.5</v>
      </c>
      <c r="K148" s="8" t="n">
        <v>8.5</v>
      </c>
      <c r="L148" s="8" t="n">
        <v>6</v>
      </c>
      <c r="M148" s="8" t="n">
        <v>5</v>
      </c>
      <c r="N148" s="8" t="n">
        <v>8</v>
      </c>
      <c r="O148" s="8" t="n">
        <v>7</v>
      </c>
      <c r="P148" s="8" t="n">
        <v>4</v>
      </c>
      <c r="Q148" s="14" t="n">
        <v>300</v>
      </c>
      <c r="R148" s="8" t="n">
        <v>5</v>
      </c>
      <c r="S148" s="8" t="n">
        <v>6</v>
      </c>
      <c r="T148" s="9" t="s">
        <v>94</v>
      </c>
      <c r="U148" s="8" t="s">
        <v>95</v>
      </c>
      <c r="V148" s="8" t="n">
        <v>8</v>
      </c>
      <c r="W148" s="8" t="n">
        <v>6.5</v>
      </c>
      <c r="X148" s="8" t="n">
        <v>9</v>
      </c>
      <c r="Y148" s="26" t="s">
        <v>50</v>
      </c>
      <c r="Z148" s="16" t="s">
        <v>51</v>
      </c>
      <c r="AA148" s="17" t="n">
        <f aca="false">ROUND(K148*0.12 + I148*0.08 + J148*0.07 + L148*0.06 + M148*0.06 + N148*0.08 + O148*0.06 + R148*0.09 + S148*0.04 + V148*0.13 + W148*0.11 + X148*0.08 + (I148+J148)/2*0.02, 2)</f>
        <v>7.35</v>
      </c>
    </row>
    <row r="149" customFormat="false" ht="15" hidden="false" customHeight="true" outlineLevel="0" collapsed="false">
      <c r="A149" s="18" t="n">
        <v>146</v>
      </c>
      <c r="B149" s="19" t="s">
        <v>648</v>
      </c>
      <c r="C149" s="19" t="s">
        <v>661</v>
      </c>
      <c r="D149" s="19" t="s">
        <v>662</v>
      </c>
      <c r="E149" s="20" t="s">
        <v>663</v>
      </c>
      <c r="F149" s="21" t="s">
        <v>664</v>
      </c>
      <c r="G149" s="19" t="s">
        <v>34</v>
      </c>
      <c r="H149" s="12" t="s">
        <v>202</v>
      </c>
      <c r="I149" s="30" t="n">
        <v>8</v>
      </c>
      <c r="J149" s="30" t="n">
        <v>8</v>
      </c>
      <c r="K149" s="18" t="n">
        <v>9</v>
      </c>
      <c r="L149" s="18" t="n">
        <v>5</v>
      </c>
      <c r="M149" s="18" t="n">
        <v>5</v>
      </c>
      <c r="N149" s="18" t="n">
        <v>8</v>
      </c>
      <c r="O149" s="18" t="n">
        <v>9</v>
      </c>
      <c r="P149" s="18" t="n">
        <v>4</v>
      </c>
      <c r="Q149" s="22" t="n">
        <v>300</v>
      </c>
      <c r="R149" s="18" t="n">
        <v>6</v>
      </c>
      <c r="S149" s="18" t="n">
        <v>7</v>
      </c>
      <c r="T149" s="19" t="s">
        <v>114</v>
      </c>
      <c r="U149" s="18" t="s">
        <v>163</v>
      </c>
      <c r="V149" s="18" t="n">
        <v>9</v>
      </c>
      <c r="W149" s="18" t="n">
        <v>7</v>
      </c>
      <c r="X149" s="18" t="n">
        <v>9.5</v>
      </c>
      <c r="Y149" s="26" t="s">
        <v>50</v>
      </c>
      <c r="Z149" s="24" t="s">
        <v>51</v>
      </c>
      <c r="AA149" s="25" t="n">
        <f aca="false">ROUND(K149*0.12 + I149*0.08 + J149*0.07 + L149*0.06 + M149*0.06 + N149*0.08 + O149*0.06 + R149*0.09 + S149*0.04 + V149*0.13 + W149*0.11 + X149*0.08 + (I149+J149)/2*0.02, 2)</f>
        <v>7.74</v>
      </c>
    </row>
    <row r="150" customFormat="false" ht="15" hidden="false" customHeight="true" outlineLevel="0" collapsed="false">
      <c r="A150" s="8" t="n">
        <v>147</v>
      </c>
      <c r="B150" s="9" t="s">
        <v>648</v>
      </c>
      <c r="C150" s="9" t="s">
        <v>661</v>
      </c>
      <c r="D150" s="9" t="s">
        <v>665</v>
      </c>
      <c r="E150" s="10" t="s">
        <v>666</v>
      </c>
      <c r="F150" s="11" t="s">
        <v>667</v>
      </c>
      <c r="G150" s="9" t="s">
        <v>668</v>
      </c>
      <c r="H150" s="12" t="s">
        <v>202</v>
      </c>
      <c r="I150" s="30" t="n">
        <v>8</v>
      </c>
      <c r="J150" s="30" t="n">
        <v>8</v>
      </c>
      <c r="K150" s="8" t="n">
        <v>9.2</v>
      </c>
      <c r="L150" s="8" t="n">
        <v>5</v>
      </c>
      <c r="M150" s="8" t="n">
        <v>5</v>
      </c>
      <c r="N150" s="8" t="n">
        <v>9</v>
      </c>
      <c r="O150" s="8" t="n">
        <v>8</v>
      </c>
      <c r="P150" s="8" t="n">
        <v>3</v>
      </c>
      <c r="Q150" s="14" t="n">
        <v>300</v>
      </c>
      <c r="R150" s="8" t="n">
        <v>5</v>
      </c>
      <c r="S150" s="8" t="n">
        <v>7</v>
      </c>
      <c r="T150" s="9" t="s">
        <v>114</v>
      </c>
      <c r="U150" s="8" t="s">
        <v>457</v>
      </c>
      <c r="V150" s="8" t="n">
        <v>9.5</v>
      </c>
      <c r="W150" s="8" t="n">
        <v>7</v>
      </c>
      <c r="X150" s="8" t="n">
        <v>9.5</v>
      </c>
      <c r="Y150" s="26" t="s">
        <v>50</v>
      </c>
      <c r="Z150" s="16" t="s">
        <v>51</v>
      </c>
      <c r="AA150" s="17" t="n">
        <f aca="false">ROUND(K150*0.12 + I150*0.08 + J150*0.07 + L150*0.06 + M150*0.06 + N150*0.08 + O150*0.06 + R150*0.09 + S150*0.04 + V150*0.13 + W150*0.11 + X150*0.08 + (I150+J150)/2*0.02, 2)</f>
        <v>7.76</v>
      </c>
    </row>
    <row r="151" customFormat="false" ht="15" hidden="false" customHeight="true" outlineLevel="0" collapsed="false">
      <c r="A151" s="18" t="n">
        <v>148</v>
      </c>
      <c r="B151" s="19" t="s">
        <v>648</v>
      </c>
      <c r="C151" s="19" t="s">
        <v>661</v>
      </c>
      <c r="D151" s="19" t="s">
        <v>669</v>
      </c>
      <c r="E151" s="20" t="s">
        <v>670</v>
      </c>
      <c r="F151" s="21" t="s">
        <v>671</v>
      </c>
      <c r="G151" s="19" t="s">
        <v>656</v>
      </c>
      <c r="H151" s="12" t="s">
        <v>202</v>
      </c>
      <c r="I151" s="30" t="n">
        <v>8</v>
      </c>
      <c r="J151" s="30" t="n">
        <v>8</v>
      </c>
      <c r="K151" s="18" t="n">
        <v>8</v>
      </c>
      <c r="L151" s="18" t="n">
        <v>4</v>
      </c>
      <c r="M151" s="18" t="n">
        <v>4</v>
      </c>
      <c r="N151" s="18" t="n">
        <v>7</v>
      </c>
      <c r="O151" s="18" t="n">
        <v>7</v>
      </c>
      <c r="P151" s="18" t="n">
        <v>3</v>
      </c>
      <c r="Q151" s="22" t="n">
        <v>250</v>
      </c>
      <c r="R151" s="18" t="n">
        <v>5</v>
      </c>
      <c r="S151" s="18" t="n">
        <v>7</v>
      </c>
      <c r="T151" s="19" t="s">
        <v>65</v>
      </c>
      <c r="U151" s="18" t="s">
        <v>550</v>
      </c>
      <c r="V151" s="18" t="n">
        <v>7.5</v>
      </c>
      <c r="W151" s="18" t="n">
        <v>6</v>
      </c>
      <c r="X151" s="18" t="n">
        <v>9.5</v>
      </c>
      <c r="Y151" s="29" t="s">
        <v>96</v>
      </c>
      <c r="Z151" s="24" t="s">
        <v>220</v>
      </c>
      <c r="AA151" s="25" t="n">
        <f aca="false">ROUND(K151*0.12 + I151*0.08 + J151*0.07 + L151*0.06 + M151*0.06 + N151*0.08 + O151*0.06 + R151*0.09 + S151*0.04 + V151*0.13 + W151*0.11 + X151*0.08 + (I151+J151)/2*0.02, 2)</f>
        <v>6.91</v>
      </c>
    </row>
    <row r="152" customFormat="false" ht="15" hidden="false" customHeight="true" outlineLevel="0" collapsed="false">
      <c r="A152" s="8" t="n">
        <v>149</v>
      </c>
      <c r="B152" s="9" t="s">
        <v>648</v>
      </c>
      <c r="C152" s="9" t="s">
        <v>672</v>
      </c>
      <c r="D152" s="9" t="s">
        <v>673</v>
      </c>
      <c r="E152" s="10" t="s">
        <v>674</v>
      </c>
      <c r="F152" s="11" t="s">
        <v>675</v>
      </c>
      <c r="G152" s="9" t="s">
        <v>676</v>
      </c>
      <c r="H152" s="12" t="s">
        <v>35</v>
      </c>
      <c r="I152" s="30" t="n">
        <v>8.5</v>
      </c>
      <c r="J152" s="30" t="n">
        <v>8.5</v>
      </c>
      <c r="K152" s="8" t="n">
        <v>9.3</v>
      </c>
      <c r="L152" s="8" t="n">
        <v>6</v>
      </c>
      <c r="M152" s="8" t="n">
        <v>5</v>
      </c>
      <c r="N152" s="8" t="n">
        <v>10</v>
      </c>
      <c r="O152" s="8" t="n">
        <v>8</v>
      </c>
      <c r="P152" s="8" t="n">
        <v>4</v>
      </c>
      <c r="Q152" s="14" t="n">
        <v>500</v>
      </c>
      <c r="R152" s="8" t="n">
        <v>6</v>
      </c>
      <c r="S152" s="8" t="n">
        <v>6</v>
      </c>
      <c r="T152" s="9" t="s">
        <v>94</v>
      </c>
      <c r="U152" s="8" t="s">
        <v>457</v>
      </c>
      <c r="V152" s="8" t="n">
        <v>9.5</v>
      </c>
      <c r="W152" s="8" t="n">
        <v>8</v>
      </c>
      <c r="X152" s="8" t="n">
        <v>8.5</v>
      </c>
      <c r="Y152" s="26" t="s">
        <v>50</v>
      </c>
      <c r="Z152" s="16" t="s">
        <v>51</v>
      </c>
      <c r="AA152" s="17" t="n">
        <f aca="false">ROUND(K152*0.12 + I152*0.08 + J152*0.07 + L152*0.06 + M152*0.06 + N152*0.08 + O152*0.06 + R152*0.09 + S152*0.04 + V152*0.13 + W152*0.11 + X152*0.08 + (I152+J152)/2*0.02, 2)</f>
        <v>8.08</v>
      </c>
    </row>
    <row r="153" customFormat="false" ht="15" hidden="false" customHeight="true" outlineLevel="0" collapsed="false">
      <c r="A153" s="18" t="n">
        <v>150</v>
      </c>
      <c r="B153" s="19" t="s">
        <v>648</v>
      </c>
      <c r="C153" s="19" t="s">
        <v>672</v>
      </c>
      <c r="D153" s="19" t="s">
        <v>677</v>
      </c>
      <c r="E153" s="20" t="s">
        <v>678</v>
      </c>
      <c r="F153" s="21" t="s">
        <v>679</v>
      </c>
      <c r="G153" s="19" t="s">
        <v>540</v>
      </c>
      <c r="H153" s="12" t="s">
        <v>35</v>
      </c>
      <c r="I153" s="30" t="n">
        <v>8.5</v>
      </c>
      <c r="J153" s="30" t="n">
        <v>8.5</v>
      </c>
      <c r="K153" s="18" t="n">
        <v>8.5</v>
      </c>
      <c r="L153" s="18" t="n">
        <v>7</v>
      </c>
      <c r="M153" s="18" t="n">
        <v>5</v>
      </c>
      <c r="N153" s="18" t="n">
        <v>9</v>
      </c>
      <c r="O153" s="18" t="n">
        <v>7</v>
      </c>
      <c r="P153" s="18" t="n">
        <v>4</v>
      </c>
      <c r="Q153" s="22" t="n">
        <v>500</v>
      </c>
      <c r="R153" s="18" t="n">
        <v>6</v>
      </c>
      <c r="S153" s="18" t="n">
        <v>6</v>
      </c>
      <c r="T153" s="19" t="s">
        <v>65</v>
      </c>
      <c r="U153" s="18" t="s">
        <v>550</v>
      </c>
      <c r="V153" s="18" t="n">
        <v>8</v>
      </c>
      <c r="W153" s="18" t="n">
        <v>8</v>
      </c>
      <c r="X153" s="18" t="n">
        <v>8</v>
      </c>
      <c r="Y153" s="26" t="s">
        <v>50</v>
      </c>
      <c r="Z153" s="24" t="s">
        <v>51</v>
      </c>
      <c r="AA153" s="25" t="n">
        <f aca="false">ROUND(K153*0.12 + I153*0.08 + J153*0.07 + L153*0.06 + M153*0.06 + N153*0.08 + O153*0.06 + R153*0.09 + S153*0.04 + V153*0.13 + W153*0.11 + X153*0.08 + (I153+J153)/2*0.02, 2)</f>
        <v>7.67</v>
      </c>
    </row>
    <row r="154" customFormat="false" ht="15" hidden="false" customHeight="true" outlineLevel="0" collapsed="false">
      <c r="A154" s="8" t="n">
        <v>151</v>
      </c>
      <c r="B154" s="9" t="s">
        <v>648</v>
      </c>
      <c r="C154" s="9" t="s">
        <v>672</v>
      </c>
      <c r="D154" s="9" t="s">
        <v>680</v>
      </c>
      <c r="E154" s="10" t="s">
        <v>681</v>
      </c>
      <c r="F154" s="11" t="s">
        <v>682</v>
      </c>
      <c r="G154" s="9" t="s">
        <v>64</v>
      </c>
      <c r="H154" s="12" t="s">
        <v>35</v>
      </c>
      <c r="I154" s="30" t="n">
        <v>8.5</v>
      </c>
      <c r="J154" s="30" t="n">
        <v>8.5</v>
      </c>
      <c r="K154" s="8" t="n">
        <v>8.8</v>
      </c>
      <c r="L154" s="8" t="n">
        <v>4</v>
      </c>
      <c r="M154" s="8" t="n">
        <v>3</v>
      </c>
      <c r="N154" s="8" t="n">
        <v>8</v>
      </c>
      <c r="O154" s="8" t="n">
        <v>8</v>
      </c>
      <c r="P154" s="8" t="n">
        <v>7</v>
      </c>
      <c r="Q154" s="14" t="n">
        <v>350</v>
      </c>
      <c r="R154" s="8" t="n">
        <v>4</v>
      </c>
      <c r="S154" s="8" t="n">
        <v>4</v>
      </c>
      <c r="T154" s="9" t="s">
        <v>65</v>
      </c>
      <c r="U154" s="8" t="s">
        <v>550</v>
      </c>
      <c r="V154" s="8" t="n">
        <v>9</v>
      </c>
      <c r="W154" s="8" t="n">
        <v>6</v>
      </c>
      <c r="X154" s="8" t="n">
        <v>8.5</v>
      </c>
      <c r="Y154" s="27" t="s">
        <v>67</v>
      </c>
      <c r="Z154" s="16" t="s">
        <v>683</v>
      </c>
      <c r="AA154" s="17" t="n">
        <f aca="false">ROUND(K154*0.12 + I154*0.08 + J154*0.07 + L154*0.06 + M154*0.06 + N154*0.08 + O154*0.06 + R154*0.09 + S154*0.04 + V154*0.13 + W154*0.11 + X154*0.08 + (I154+J154)/2*0.02, 2)</f>
        <v>7.07</v>
      </c>
    </row>
    <row r="155" customFormat="false" ht="15" hidden="false" customHeight="true" outlineLevel="0" collapsed="false">
      <c r="A155" s="18" t="n">
        <v>152</v>
      </c>
      <c r="B155" s="19" t="s">
        <v>648</v>
      </c>
      <c r="C155" s="19" t="s">
        <v>684</v>
      </c>
      <c r="D155" s="19" t="s">
        <v>685</v>
      </c>
      <c r="E155" s="20" t="s">
        <v>686</v>
      </c>
      <c r="F155" s="21" t="s">
        <v>687</v>
      </c>
      <c r="G155" s="19" t="s">
        <v>688</v>
      </c>
      <c r="H155" s="12" t="s">
        <v>689</v>
      </c>
      <c r="I155" s="30" t="n">
        <v>8</v>
      </c>
      <c r="J155" s="30" t="n">
        <v>7.5</v>
      </c>
      <c r="K155" s="18" t="n">
        <v>9</v>
      </c>
      <c r="L155" s="18" t="n">
        <v>6</v>
      </c>
      <c r="M155" s="18" t="n">
        <v>5</v>
      </c>
      <c r="N155" s="18" t="n">
        <v>9</v>
      </c>
      <c r="O155" s="18" t="n">
        <v>8</v>
      </c>
      <c r="P155" s="18" t="n">
        <v>4</v>
      </c>
      <c r="Q155" s="22" t="n">
        <v>250</v>
      </c>
      <c r="R155" s="18" t="n">
        <v>5</v>
      </c>
      <c r="S155" s="18" t="n">
        <v>6</v>
      </c>
      <c r="T155" s="19" t="s">
        <v>65</v>
      </c>
      <c r="U155" s="18" t="s">
        <v>550</v>
      </c>
      <c r="V155" s="18" t="n">
        <v>9.5</v>
      </c>
      <c r="W155" s="18" t="n">
        <v>7</v>
      </c>
      <c r="X155" s="18" t="n">
        <v>9.5</v>
      </c>
      <c r="Y155" s="26" t="s">
        <v>50</v>
      </c>
      <c r="Z155" s="24" t="s">
        <v>51</v>
      </c>
      <c r="AA155" s="25" t="n">
        <f aca="false">ROUND(K155*0.12 + I155*0.08 + J155*0.07 + L155*0.06 + M155*0.06 + N155*0.08 + O155*0.06 + R155*0.09 + S155*0.04 + V155*0.13 + W155*0.11 + X155*0.08 + (I155+J155)/2*0.02, 2)</f>
        <v>7.72</v>
      </c>
    </row>
    <row r="156" customFormat="false" ht="15" hidden="false" customHeight="true" outlineLevel="0" collapsed="false">
      <c r="A156" s="8" t="n">
        <v>153</v>
      </c>
      <c r="B156" s="9" t="s">
        <v>648</v>
      </c>
      <c r="C156" s="9" t="s">
        <v>684</v>
      </c>
      <c r="D156" s="9" t="s">
        <v>690</v>
      </c>
      <c r="E156" s="10" t="s">
        <v>691</v>
      </c>
      <c r="F156" s="11" t="s">
        <v>692</v>
      </c>
      <c r="G156" s="9" t="s">
        <v>34</v>
      </c>
      <c r="H156" s="12" t="s">
        <v>689</v>
      </c>
      <c r="I156" s="30" t="n">
        <v>8</v>
      </c>
      <c r="J156" s="30" t="n">
        <v>7.5</v>
      </c>
      <c r="K156" s="8" t="n">
        <v>8</v>
      </c>
      <c r="L156" s="8" t="n">
        <v>5</v>
      </c>
      <c r="M156" s="8" t="n">
        <v>5</v>
      </c>
      <c r="N156" s="8" t="n">
        <v>7</v>
      </c>
      <c r="O156" s="8" t="n">
        <v>8</v>
      </c>
      <c r="P156" s="8" t="n">
        <v>3</v>
      </c>
      <c r="Q156" s="14" t="n">
        <v>250</v>
      </c>
      <c r="R156" s="8" t="n">
        <v>6</v>
      </c>
      <c r="S156" s="8" t="n">
        <v>7</v>
      </c>
      <c r="T156" s="9" t="s">
        <v>43</v>
      </c>
      <c r="U156" s="8" t="s">
        <v>533</v>
      </c>
      <c r="V156" s="8" t="n">
        <v>7.5</v>
      </c>
      <c r="W156" s="8" t="n">
        <v>7</v>
      </c>
      <c r="X156" s="8" t="n">
        <v>9</v>
      </c>
      <c r="Y156" s="26" t="s">
        <v>50</v>
      </c>
      <c r="Z156" s="16" t="s">
        <v>51</v>
      </c>
      <c r="AA156" s="17" t="n">
        <f aca="false">ROUND(K156*0.12 + I156*0.08 + J156*0.07 + L156*0.06 + M156*0.06 + N156*0.08 + O156*0.06 + R156*0.09 + S156*0.04 + V156*0.13 + W156*0.11 + X156*0.08 + (I156+J156)/2*0.02, 2)</f>
        <v>7.21</v>
      </c>
    </row>
    <row r="157" customFormat="false" ht="15" hidden="false" customHeight="true" outlineLevel="0" collapsed="false">
      <c r="A157" s="18" t="n">
        <v>154</v>
      </c>
      <c r="B157" s="19" t="s">
        <v>648</v>
      </c>
      <c r="C157" s="19" t="s">
        <v>693</v>
      </c>
      <c r="D157" s="19" t="s">
        <v>694</v>
      </c>
      <c r="E157" s="20" t="s">
        <v>695</v>
      </c>
      <c r="F157" s="21" t="s">
        <v>696</v>
      </c>
      <c r="G157" s="19" t="s">
        <v>167</v>
      </c>
      <c r="H157" s="12" t="s">
        <v>202</v>
      </c>
      <c r="I157" s="30" t="n">
        <v>7.5</v>
      </c>
      <c r="J157" s="30" t="n">
        <v>7.5</v>
      </c>
      <c r="K157" s="18" t="n">
        <v>8.8</v>
      </c>
      <c r="L157" s="18" t="n">
        <v>4</v>
      </c>
      <c r="M157" s="18" t="n">
        <v>4</v>
      </c>
      <c r="N157" s="18" t="n">
        <v>8</v>
      </c>
      <c r="O157" s="18" t="n">
        <v>8</v>
      </c>
      <c r="P157" s="18" t="n">
        <v>4</v>
      </c>
      <c r="Q157" s="22" t="n">
        <v>200</v>
      </c>
      <c r="R157" s="18" t="n">
        <v>5</v>
      </c>
      <c r="S157" s="18" t="n">
        <v>6</v>
      </c>
      <c r="T157" s="19" t="s">
        <v>94</v>
      </c>
      <c r="U157" s="18" t="s">
        <v>457</v>
      </c>
      <c r="V157" s="18" t="n">
        <v>9.5</v>
      </c>
      <c r="W157" s="18" t="n">
        <v>6</v>
      </c>
      <c r="X157" s="18" t="n">
        <v>9.5</v>
      </c>
      <c r="Y157" s="29" t="s">
        <v>96</v>
      </c>
      <c r="Z157" s="24" t="s">
        <v>220</v>
      </c>
      <c r="AA157" s="25" t="n">
        <f aca="false">ROUND(K157*0.12 + I157*0.08 + J157*0.07 + L157*0.06 + M157*0.06 + N157*0.08 + O157*0.06 + R157*0.09 + S157*0.04 + V157*0.13 + W157*0.11 + X157*0.08 + (I157+J157)/2*0.02, 2)</f>
        <v>7.28</v>
      </c>
    </row>
    <row r="158" customFormat="false" ht="15" hidden="false" customHeight="true" outlineLevel="0" collapsed="false">
      <c r="A158" s="8" t="n">
        <v>155</v>
      </c>
      <c r="B158" s="9" t="s">
        <v>648</v>
      </c>
      <c r="C158" s="9" t="s">
        <v>693</v>
      </c>
      <c r="D158" s="9" t="s">
        <v>697</v>
      </c>
      <c r="E158" s="10" t="s">
        <v>698</v>
      </c>
      <c r="F158" s="11" t="s">
        <v>699</v>
      </c>
      <c r="G158" s="9" t="s">
        <v>553</v>
      </c>
      <c r="H158" s="12" t="s">
        <v>202</v>
      </c>
      <c r="I158" s="30" t="n">
        <v>7.5</v>
      </c>
      <c r="J158" s="30" t="n">
        <v>7.5</v>
      </c>
      <c r="K158" s="8" t="n">
        <v>8.8</v>
      </c>
      <c r="L158" s="8" t="n">
        <v>5</v>
      </c>
      <c r="M158" s="8" t="n">
        <v>5</v>
      </c>
      <c r="N158" s="8" t="n">
        <v>9</v>
      </c>
      <c r="O158" s="8" t="n">
        <v>8</v>
      </c>
      <c r="P158" s="8" t="n">
        <v>4</v>
      </c>
      <c r="Q158" s="14" t="n">
        <v>200</v>
      </c>
      <c r="R158" s="8" t="n">
        <v>5</v>
      </c>
      <c r="S158" s="8" t="n">
        <v>6</v>
      </c>
      <c r="T158" s="9" t="s">
        <v>114</v>
      </c>
      <c r="U158" s="8" t="s">
        <v>163</v>
      </c>
      <c r="V158" s="8" t="n">
        <v>9</v>
      </c>
      <c r="W158" s="8" t="n">
        <v>6</v>
      </c>
      <c r="X158" s="8" t="n">
        <v>9.5</v>
      </c>
      <c r="Y158" s="26" t="s">
        <v>50</v>
      </c>
      <c r="Z158" s="16" t="s">
        <v>51</v>
      </c>
      <c r="AA158" s="17" t="n">
        <f aca="false">ROUND(K158*0.12 + I158*0.08 + J158*0.07 + L158*0.06 + M158*0.06 + N158*0.08 + O158*0.06 + R158*0.09 + S158*0.04 + V158*0.13 + W158*0.11 + X158*0.08 + (I158+J158)/2*0.02, 2)</f>
        <v>7.41</v>
      </c>
    </row>
    <row r="159" customFormat="false" ht="15" hidden="false" customHeight="true" outlineLevel="0" collapsed="false">
      <c r="A159" s="18" t="n">
        <v>156</v>
      </c>
      <c r="B159" s="19" t="s">
        <v>648</v>
      </c>
      <c r="C159" s="19" t="s">
        <v>693</v>
      </c>
      <c r="D159" s="19" t="s">
        <v>700</v>
      </c>
      <c r="E159" s="20" t="s">
        <v>701</v>
      </c>
      <c r="F159" s="21" t="s">
        <v>702</v>
      </c>
      <c r="G159" s="19" t="s">
        <v>553</v>
      </c>
      <c r="H159" s="12" t="s">
        <v>202</v>
      </c>
      <c r="I159" s="30" t="n">
        <v>7.5</v>
      </c>
      <c r="J159" s="30" t="n">
        <v>7.5</v>
      </c>
      <c r="K159" s="18" t="n">
        <v>8.5</v>
      </c>
      <c r="L159" s="18" t="n">
        <v>4</v>
      </c>
      <c r="M159" s="18" t="n">
        <v>4</v>
      </c>
      <c r="N159" s="18" t="n">
        <v>8</v>
      </c>
      <c r="O159" s="18" t="n">
        <v>8</v>
      </c>
      <c r="P159" s="18" t="n">
        <v>3</v>
      </c>
      <c r="Q159" s="22" t="n">
        <v>200</v>
      </c>
      <c r="R159" s="18" t="n">
        <v>4</v>
      </c>
      <c r="S159" s="18" t="n">
        <v>6</v>
      </c>
      <c r="T159" s="19" t="s">
        <v>114</v>
      </c>
      <c r="U159" s="18" t="s">
        <v>163</v>
      </c>
      <c r="V159" s="18" t="n">
        <v>9</v>
      </c>
      <c r="W159" s="18" t="n">
        <v>5.5</v>
      </c>
      <c r="X159" s="18" t="n">
        <v>9.5</v>
      </c>
      <c r="Y159" s="29" t="s">
        <v>96</v>
      </c>
      <c r="Z159" s="24" t="s">
        <v>220</v>
      </c>
      <c r="AA159" s="25" t="n">
        <f aca="false">ROUND(K159*0.12 + I159*0.08 + J159*0.07 + L159*0.06 + M159*0.06 + N159*0.08 + O159*0.06 + R159*0.09 + S159*0.04 + V159*0.13 + W159*0.11 + X159*0.08 + (I159+J159)/2*0.02, 2)</f>
        <v>7.03</v>
      </c>
    </row>
    <row r="160" customFormat="false" ht="15" hidden="false" customHeight="true" outlineLevel="0" collapsed="false">
      <c r="A160" s="8" t="n">
        <v>157</v>
      </c>
      <c r="B160" s="9" t="s">
        <v>648</v>
      </c>
      <c r="C160" s="9" t="s">
        <v>703</v>
      </c>
      <c r="D160" s="9" t="s">
        <v>704</v>
      </c>
      <c r="E160" s="10" t="s">
        <v>705</v>
      </c>
      <c r="F160" s="11" t="s">
        <v>706</v>
      </c>
      <c r="G160" s="9" t="s">
        <v>600</v>
      </c>
      <c r="H160" s="12" t="s">
        <v>202</v>
      </c>
      <c r="I160" s="30" t="n">
        <v>8</v>
      </c>
      <c r="J160" s="30" t="n">
        <v>8</v>
      </c>
      <c r="K160" s="8" t="n">
        <v>8</v>
      </c>
      <c r="L160" s="8" t="n">
        <v>5</v>
      </c>
      <c r="M160" s="8" t="n">
        <v>5</v>
      </c>
      <c r="N160" s="8" t="n">
        <v>7</v>
      </c>
      <c r="O160" s="8" t="n">
        <v>7</v>
      </c>
      <c r="P160" s="8" t="n">
        <v>3</v>
      </c>
      <c r="Q160" s="14" t="n">
        <v>300</v>
      </c>
      <c r="R160" s="8" t="n">
        <v>6</v>
      </c>
      <c r="S160" s="8" t="n">
        <v>7</v>
      </c>
      <c r="T160" s="9" t="s">
        <v>65</v>
      </c>
      <c r="U160" s="8" t="s">
        <v>76</v>
      </c>
      <c r="V160" s="8" t="n">
        <v>7.5</v>
      </c>
      <c r="W160" s="8" t="n">
        <v>7.5</v>
      </c>
      <c r="X160" s="8" t="n">
        <v>8.5</v>
      </c>
      <c r="Y160" s="26" t="s">
        <v>50</v>
      </c>
      <c r="Z160" s="16" t="s">
        <v>51</v>
      </c>
      <c r="AA160" s="17" t="n">
        <f aca="false">ROUND(K160*0.12 + I160*0.08 + J160*0.07 + L160*0.06 + M160*0.06 + N160*0.08 + O160*0.06 + R160*0.09 + S160*0.04 + V160*0.13 + W160*0.11 + X160*0.08 + (I160+J160)/2*0.02, 2)</f>
        <v>7.2</v>
      </c>
    </row>
    <row r="161" customFormat="false" ht="15" hidden="false" customHeight="true" outlineLevel="0" collapsed="false">
      <c r="A161" s="18" t="n">
        <v>158</v>
      </c>
      <c r="B161" s="19" t="s">
        <v>648</v>
      </c>
      <c r="C161" s="19" t="s">
        <v>703</v>
      </c>
      <c r="D161" s="19" t="s">
        <v>707</v>
      </c>
      <c r="E161" s="20" t="s">
        <v>708</v>
      </c>
      <c r="F161" s="21" t="s">
        <v>709</v>
      </c>
      <c r="G161" s="19" t="s">
        <v>323</v>
      </c>
      <c r="H161" s="12" t="s">
        <v>202</v>
      </c>
      <c r="I161" s="30" t="n">
        <v>8</v>
      </c>
      <c r="J161" s="30" t="n">
        <v>8</v>
      </c>
      <c r="K161" s="18" t="n">
        <v>8.5</v>
      </c>
      <c r="L161" s="18" t="n">
        <v>5</v>
      </c>
      <c r="M161" s="18" t="n">
        <v>5</v>
      </c>
      <c r="N161" s="18" t="n">
        <v>7</v>
      </c>
      <c r="O161" s="18" t="n">
        <v>7</v>
      </c>
      <c r="P161" s="18" t="n">
        <v>3</v>
      </c>
      <c r="Q161" s="22" t="n">
        <v>250</v>
      </c>
      <c r="R161" s="18" t="n">
        <v>5</v>
      </c>
      <c r="S161" s="18" t="n">
        <v>7</v>
      </c>
      <c r="T161" s="19" t="s">
        <v>65</v>
      </c>
      <c r="U161" s="18" t="s">
        <v>76</v>
      </c>
      <c r="V161" s="18" t="n">
        <v>8.5</v>
      </c>
      <c r="W161" s="18" t="n">
        <v>7</v>
      </c>
      <c r="X161" s="18" t="n">
        <v>9</v>
      </c>
      <c r="Y161" s="29" t="s">
        <v>96</v>
      </c>
      <c r="Z161" s="24" t="s">
        <v>710</v>
      </c>
      <c r="AA161" s="25" t="n">
        <f aca="false">ROUND(K161*0.12 + I161*0.08 + J161*0.07 + L161*0.06 + M161*0.06 + N161*0.08 + O161*0.06 + R161*0.09 + S161*0.04 + V161*0.13 + W161*0.11 + X161*0.08 + (I161+J161)/2*0.02, 2)</f>
        <v>7.29</v>
      </c>
    </row>
    <row r="162" customFormat="false" ht="15" hidden="false" customHeight="true" outlineLevel="0" collapsed="false">
      <c r="A162" s="8" t="n">
        <v>159</v>
      </c>
      <c r="B162" s="9" t="s">
        <v>648</v>
      </c>
      <c r="C162" s="9" t="s">
        <v>711</v>
      </c>
      <c r="D162" s="9" t="s">
        <v>712</v>
      </c>
      <c r="E162" s="10" t="s">
        <v>713</v>
      </c>
      <c r="F162" s="11" t="s">
        <v>714</v>
      </c>
      <c r="G162" s="9" t="s">
        <v>34</v>
      </c>
      <c r="H162" s="12" t="s">
        <v>715</v>
      </c>
      <c r="I162" s="30" t="n">
        <v>7.5</v>
      </c>
      <c r="J162" s="32" t="n">
        <v>7</v>
      </c>
      <c r="K162" s="8" t="n">
        <v>9.5</v>
      </c>
      <c r="L162" s="8" t="n">
        <v>6</v>
      </c>
      <c r="M162" s="8" t="n">
        <v>5</v>
      </c>
      <c r="N162" s="8" t="n">
        <v>9</v>
      </c>
      <c r="O162" s="8" t="n">
        <v>9</v>
      </c>
      <c r="P162" s="8" t="n">
        <v>4</v>
      </c>
      <c r="Q162" s="14" t="n">
        <v>700</v>
      </c>
      <c r="R162" s="8" t="n">
        <v>8</v>
      </c>
      <c r="S162" s="8" t="n">
        <v>6</v>
      </c>
      <c r="T162" s="9" t="s">
        <v>65</v>
      </c>
      <c r="U162" s="8" t="s">
        <v>348</v>
      </c>
      <c r="V162" s="8" t="n">
        <v>10</v>
      </c>
      <c r="W162" s="8" t="n">
        <v>9</v>
      </c>
      <c r="X162" s="8" t="n">
        <v>8</v>
      </c>
      <c r="Y162" s="26" t="s">
        <v>50</v>
      </c>
      <c r="Z162" s="16" t="s">
        <v>51</v>
      </c>
      <c r="AA162" s="17" t="n">
        <f aca="false">ROUND(K162*0.12 + I162*0.08 + J162*0.07 + L162*0.06 + M162*0.06 + N162*0.08 + O162*0.06 + R162*0.09 + S162*0.04 + V162*0.13 + W162*0.11 + X162*0.08 + (I162+J162)/2*0.02, 2)</f>
        <v>8.19</v>
      </c>
    </row>
    <row r="163" customFormat="false" ht="15" hidden="false" customHeight="true" outlineLevel="0" collapsed="false">
      <c r="A163" s="18" t="n">
        <v>160</v>
      </c>
      <c r="B163" s="19" t="s">
        <v>648</v>
      </c>
      <c r="C163" s="19" t="s">
        <v>711</v>
      </c>
      <c r="D163" s="19" t="s">
        <v>716</v>
      </c>
      <c r="E163" s="20" t="s">
        <v>717</v>
      </c>
      <c r="F163" s="21" t="s">
        <v>718</v>
      </c>
      <c r="G163" s="19" t="s">
        <v>518</v>
      </c>
      <c r="H163" s="12" t="s">
        <v>715</v>
      </c>
      <c r="I163" s="30" t="n">
        <v>7.5</v>
      </c>
      <c r="J163" s="32" t="n">
        <v>7</v>
      </c>
      <c r="K163" s="18" t="n">
        <v>9.5</v>
      </c>
      <c r="L163" s="18" t="n">
        <v>6</v>
      </c>
      <c r="M163" s="18" t="n">
        <v>6</v>
      </c>
      <c r="N163" s="18" t="n">
        <v>9</v>
      </c>
      <c r="O163" s="18" t="n">
        <v>9</v>
      </c>
      <c r="P163" s="18" t="n">
        <v>4</v>
      </c>
      <c r="Q163" s="22" t="n">
        <v>700</v>
      </c>
      <c r="R163" s="18" t="n">
        <v>7</v>
      </c>
      <c r="S163" s="18" t="n">
        <v>6</v>
      </c>
      <c r="T163" s="19" t="s">
        <v>65</v>
      </c>
      <c r="U163" s="18" t="s">
        <v>348</v>
      </c>
      <c r="V163" s="18" t="n">
        <v>10</v>
      </c>
      <c r="W163" s="18" t="n">
        <v>9</v>
      </c>
      <c r="X163" s="18" t="n">
        <v>8</v>
      </c>
      <c r="Y163" s="26" t="s">
        <v>50</v>
      </c>
      <c r="Z163" s="24" t="s">
        <v>168</v>
      </c>
      <c r="AA163" s="25" t="n">
        <f aca="false">ROUND(K163*0.12 + I163*0.08 + J163*0.07 + L163*0.06 + M163*0.06 + N163*0.08 + O163*0.06 + R163*0.09 + S163*0.04 + V163*0.13 + W163*0.11 + X163*0.08 + (I163+J163)/2*0.02, 2)</f>
        <v>8.16</v>
      </c>
    </row>
    <row r="164" customFormat="false" ht="15" hidden="false" customHeight="true" outlineLevel="0" collapsed="false">
      <c r="A164" s="8" t="n">
        <v>161</v>
      </c>
      <c r="B164" s="9" t="s">
        <v>648</v>
      </c>
      <c r="C164" s="9" t="s">
        <v>711</v>
      </c>
      <c r="D164" s="9" t="s">
        <v>716</v>
      </c>
      <c r="E164" s="10" t="s">
        <v>719</v>
      </c>
      <c r="F164" s="11" t="s">
        <v>720</v>
      </c>
      <c r="G164" s="9" t="s">
        <v>721</v>
      </c>
      <c r="H164" s="12" t="s">
        <v>715</v>
      </c>
      <c r="I164" s="30" t="n">
        <v>7.5</v>
      </c>
      <c r="J164" s="32" t="n">
        <v>7</v>
      </c>
      <c r="K164" s="8" t="n">
        <v>9.3</v>
      </c>
      <c r="L164" s="8" t="n">
        <v>7</v>
      </c>
      <c r="M164" s="8" t="n">
        <v>6</v>
      </c>
      <c r="N164" s="8" t="n">
        <v>9</v>
      </c>
      <c r="O164" s="8" t="n">
        <v>8</v>
      </c>
      <c r="P164" s="8" t="n">
        <v>4</v>
      </c>
      <c r="Q164" s="14" t="n">
        <v>700</v>
      </c>
      <c r="R164" s="8" t="n">
        <v>7</v>
      </c>
      <c r="S164" s="8" t="n">
        <v>5</v>
      </c>
      <c r="T164" s="9" t="s">
        <v>65</v>
      </c>
      <c r="U164" s="8" t="s">
        <v>348</v>
      </c>
      <c r="V164" s="8" t="n">
        <v>9.5</v>
      </c>
      <c r="W164" s="8" t="n">
        <v>8.5</v>
      </c>
      <c r="X164" s="8" t="n">
        <v>7.5</v>
      </c>
      <c r="Y164" s="23" t="s">
        <v>56</v>
      </c>
      <c r="Z164" s="16" t="s">
        <v>57</v>
      </c>
      <c r="AA164" s="17" t="n">
        <f aca="false">ROUND(K164*0.12 + I164*0.08 + J164*0.07 + L164*0.06 + M164*0.06 + N164*0.08 + O164*0.06 + R164*0.09 + S164*0.04 + V164*0.13 + W164*0.11 + X164*0.08 + (I164+J164)/2*0.02, 2)</f>
        <v>7.93</v>
      </c>
    </row>
    <row r="165" customFormat="false" ht="15" hidden="false" customHeight="true" outlineLevel="0" collapsed="false">
      <c r="A165" s="18" t="n">
        <v>162</v>
      </c>
      <c r="B165" s="19" t="s">
        <v>648</v>
      </c>
      <c r="C165" s="19" t="s">
        <v>711</v>
      </c>
      <c r="D165" s="19" t="s">
        <v>712</v>
      </c>
      <c r="E165" s="20" t="s">
        <v>722</v>
      </c>
      <c r="F165" s="21" t="s">
        <v>723</v>
      </c>
      <c r="G165" s="19" t="s">
        <v>417</v>
      </c>
      <c r="H165" s="12" t="s">
        <v>715</v>
      </c>
      <c r="I165" s="30" t="n">
        <v>7.5</v>
      </c>
      <c r="J165" s="32" t="n">
        <v>7</v>
      </c>
      <c r="K165" s="18" t="n">
        <v>9.3</v>
      </c>
      <c r="L165" s="18" t="n">
        <v>6</v>
      </c>
      <c r="M165" s="18" t="n">
        <v>6</v>
      </c>
      <c r="N165" s="18" t="n">
        <v>9</v>
      </c>
      <c r="O165" s="18" t="n">
        <v>9</v>
      </c>
      <c r="P165" s="18" t="n">
        <v>2</v>
      </c>
      <c r="Q165" s="22" t="n">
        <v>700</v>
      </c>
      <c r="R165" s="18" t="n">
        <v>8</v>
      </c>
      <c r="S165" s="18" t="n">
        <v>7</v>
      </c>
      <c r="T165" s="19" t="s">
        <v>65</v>
      </c>
      <c r="U165" s="18" t="s">
        <v>348</v>
      </c>
      <c r="V165" s="18" t="n">
        <v>9.5</v>
      </c>
      <c r="W165" s="18" t="n">
        <v>9</v>
      </c>
      <c r="X165" s="18" t="n">
        <v>7.5</v>
      </c>
      <c r="Y165" s="23" t="s">
        <v>45</v>
      </c>
      <c r="Z165" s="24" t="s">
        <v>46</v>
      </c>
      <c r="AA165" s="25" t="n">
        <f aca="false">ROUND(K165*0.12 + I165*0.08 + J165*0.07 + L165*0.06 + M165*0.06 + N165*0.08 + O165*0.06 + R165*0.09 + S165*0.04 + V165*0.13 + W165*0.11 + X165*0.08 + (I165+J165)/2*0.02, 2)</f>
        <v>8.16</v>
      </c>
    </row>
    <row r="166" customFormat="false" ht="15" hidden="false" customHeight="true" outlineLevel="0" collapsed="false">
      <c r="A166" s="8" t="n">
        <v>163</v>
      </c>
      <c r="B166" s="9" t="s">
        <v>648</v>
      </c>
      <c r="C166" s="9" t="s">
        <v>711</v>
      </c>
      <c r="D166" s="9" t="s">
        <v>724</v>
      </c>
      <c r="E166" s="10" t="s">
        <v>724</v>
      </c>
      <c r="F166" s="11" t="s">
        <v>725</v>
      </c>
      <c r="G166" s="9" t="s">
        <v>489</v>
      </c>
      <c r="H166" s="12" t="s">
        <v>715</v>
      </c>
      <c r="I166" s="32" t="n">
        <v>6.5</v>
      </c>
      <c r="J166" s="32" t="n">
        <v>6.5</v>
      </c>
      <c r="K166" s="8" t="n">
        <v>9.5</v>
      </c>
      <c r="L166" s="8" t="n">
        <v>5</v>
      </c>
      <c r="M166" s="8" t="n">
        <v>3</v>
      </c>
      <c r="N166" s="8" t="n">
        <v>9</v>
      </c>
      <c r="O166" s="8" t="n">
        <v>8</v>
      </c>
      <c r="P166" s="8" t="n">
        <v>6</v>
      </c>
      <c r="Q166" s="14" t="n">
        <v>600</v>
      </c>
      <c r="R166" s="8" t="n">
        <v>5</v>
      </c>
      <c r="S166" s="8" t="n">
        <v>3</v>
      </c>
      <c r="T166" s="9" t="s">
        <v>726</v>
      </c>
      <c r="U166" s="8" t="s">
        <v>727</v>
      </c>
      <c r="V166" s="8" t="n">
        <v>10</v>
      </c>
      <c r="W166" s="8" t="n">
        <v>6</v>
      </c>
      <c r="X166" s="8" t="n">
        <v>8</v>
      </c>
      <c r="Y166" s="29" t="s">
        <v>96</v>
      </c>
      <c r="Z166" s="16" t="s">
        <v>728</v>
      </c>
      <c r="AA166" s="17" t="n">
        <f aca="false">ROUND(K166*0.12 + I166*0.08 + J166*0.07 + L166*0.06 + M166*0.06 + N166*0.08 + O166*0.06 + R166*0.09 + S166*0.04 + V166*0.13 + W166*0.11 + X166*0.08 + (I166+J166)/2*0.02, 2)</f>
        <v>7.1</v>
      </c>
    </row>
    <row r="167" customFormat="false" ht="15" hidden="false" customHeight="true" outlineLevel="0" collapsed="false">
      <c r="A167" s="18" t="n">
        <v>164</v>
      </c>
      <c r="B167" s="19" t="s">
        <v>648</v>
      </c>
      <c r="C167" s="19" t="s">
        <v>711</v>
      </c>
      <c r="D167" s="19" t="s">
        <v>729</v>
      </c>
      <c r="E167" s="20" t="s">
        <v>730</v>
      </c>
      <c r="F167" s="21" t="s">
        <v>731</v>
      </c>
      <c r="G167" s="19" t="s">
        <v>732</v>
      </c>
      <c r="H167" s="12" t="s">
        <v>715</v>
      </c>
      <c r="I167" s="32" t="n">
        <v>7</v>
      </c>
      <c r="J167" s="32" t="n">
        <v>7</v>
      </c>
      <c r="K167" s="18" t="n">
        <v>8.5</v>
      </c>
      <c r="L167" s="18" t="n">
        <v>7</v>
      </c>
      <c r="M167" s="18" t="n">
        <v>5</v>
      </c>
      <c r="N167" s="18" t="n">
        <v>8</v>
      </c>
      <c r="O167" s="18" t="n">
        <v>7</v>
      </c>
      <c r="P167" s="18" t="n">
        <v>5</v>
      </c>
      <c r="Q167" s="22" t="n">
        <v>600</v>
      </c>
      <c r="R167" s="18" t="n">
        <v>6</v>
      </c>
      <c r="S167" s="18" t="n">
        <v>5</v>
      </c>
      <c r="T167" s="19" t="s">
        <v>726</v>
      </c>
      <c r="U167" s="18" t="s">
        <v>733</v>
      </c>
      <c r="V167" s="18" t="n">
        <v>7.5</v>
      </c>
      <c r="W167" s="18" t="n">
        <v>8</v>
      </c>
      <c r="X167" s="18" t="n">
        <v>7.5</v>
      </c>
      <c r="Y167" s="29" t="s">
        <v>96</v>
      </c>
      <c r="Z167" s="24" t="s">
        <v>124</v>
      </c>
      <c r="AA167" s="25" t="n">
        <f aca="false">ROUND(K167*0.12 + I167*0.08 + J167*0.07 + L167*0.06 + M167*0.06 + N167*0.08 + O167*0.06 + R167*0.09 + S167*0.04 + V167*0.13 + W167*0.11 + X167*0.08 + (I167+J167)/2*0.02, 2)</f>
        <v>7.19</v>
      </c>
    </row>
    <row r="168" customFormat="false" ht="26.25" hidden="false" customHeight="true" outlineLevel="0" collapsed="false">
      <c r="A168" s="8" t="n">
        <v>165</v>
      </c>
      <c r="B168" s="9" t="s">
        <v>648</v>
      </c>
      <c r="C168" s="9" t="s">
        <v>711</v>
      </c>
      <c r="D168" s="9" t="s">
        <v>734</v>
      </c>
      <c r="E168" s="10" t="s">
        <v>735</v>
      </c>
      <c r="F168" s="11" t="s">
        <v>736</v>
      </c>
      <c r="G168" s="9" t="s">
        <v>737</v>
      </c>
      <c r="H168" s="12" t="s">
        <v>738</v>
      </c>
      <c r="I168" s="32" t="n">
        <v>7</v>
      </c>
      <c r="J168" s="32" t="n">
        <v>7</v>
      </c>
      <c r="K168" s="8" t="n">
        <v>8.3</v>
      </c>
      <c r="L168" s="8" t="n">
        <v>5</v>
      </c>
      <c r="M168" s="8" t="n">
        <v>5</v>
      </c>
      <c r="N168" s="8" t="n">
        <v>8</v>
      </c>
      <c r="O168" s="8" t="n">
        <v>8</v>
      </c>
      <c r="P168" s="8" t="n">
        <v>3</v>
      </c>
      <c r="Q168" s="14" t="n">
        <v>500</v>
      </c>
      <c r="R168" s="8" t="n">
        <v>7</v>
      </c>
      <c r="S168" s="8" t="n">
        <v>6</v>
      </c>
      <c r="T168" s="9" t="s">
        <v>94</v>
      </c>
      <c r="U168" s="8" t="s">
        <v>95</v>
      </c>
      <c r="V168" s="8" t="n">
        <v>7.5</v>
      </c>
      <c r="W168" s="8" t="n">
        <v>7.5</v>
      </c>
      <c r="X168" s="8" t="n">
        <v>8</v>
      </c>
      <c r="Y168" s="26" t="s">
        <v>50</v>
      </c>
      <c r="Z168" s="16" t="s">
        <v>51</v>
      </c>
      <c r="AA168" s="17" t="n">
        <f aca="false">ROUND(K168*0.12 + I168*0.08 + J168*0.07 + L168*0.06 + M168*0.06 + N168*0.08 + O168*0.06 + R168*0.09 + S168*0.04 + V168*0.13 + W168*0.11 + X168*0.08 + (I168+J168)/2*0.02, 2)</f>
        <v>7.22</v>
      </c>
    </row>
    <row r="169" customFormat="false" ht="15" hidden="false" customHeight="true" outlineLevel="0" collapsed="false">
      <c r="A169" s="18" t="n">
        <v>166</v>
      </c>
      <c r="B169" s="19" t="s">
        <v>648</v>
      </c>
      <c r="C169" s="19" t="s">
        <v>711</v>
      </c>
      <c r="D169" s="19" t="s">
        <v>739</v>
      </c>
      <c r="E169" s="20" t="s">
        <v>740</v>
      </c>
      <c r="F169" s="21" t="s">
        <v>741</v>
      </c>
      <c r="G169" s="19" t="s">
        <v>34</v>
      </c>
      <c r="H169" s="12" t="s">
        <v>715</v>
      </c>
      <c r="I169" s="32" t="n">
        <v>7</v>
      </c>
      <c r="J169" s="32" t="n">
        <v>7</v>
      </c>
      <c r="K169" s="18" t="n">
        <v>8.5</v>
      </c>
      <c r="L169" s="18" t="n">
        <v>5</v>
      </c>
      <c r="M169" s="18" t="n">
        <v>5</v>
      </c>
      <c r="N169" s="18" t="n">
        <v>8</v>
      </c>
      <c r="O169" s="18" t="n">
        <v>8</v>
      </c>
      <c r="P169" s="18" t="n">
        <v>3</v>
      </c>
      <c r="Q169" s="22" t="n">
        <v>500</v>
      </c>
      <c r="R169" s="18" t="n">
        <v>6</v>
      </c>
      <c r="S169" s="18" t="n">
        <v>6</v>
      </c>
      <c r="T169" s="19" t="s">
        <v>65</v>
      </c>
      <c r="U169" s="18" t="s">
        <v>550</v>
      </c>
      <c r="V169" s="18" t="n">
        <v>9</v>
      </c>
      <c r="W169" s="18" t="n">
        <v>8</v>
      </c>
      <c r="X169" s="18" t="n">
        <v>8.5</v>
      </c>
      <c r="Y169" s="26" t="s">
        <v>50</v>
      </c>
      <c r="Z169" s="24" t="s">
        <v>51</v>
      </c>
      <c r="AA169" s="25" t="n">
        <f aca="false">ROUND(K169*0.12 + I169*0.08 + J169*0.07 + L169*0.06 + M169*0.06 + N169*0.08 + O169*0.06 + R169*0.09 + S169*0.04 + V169*0.13 + W169*0.11 + X169*0.08 + (I169+J169)/2*0.02, 2)</f>
        <v>7.44</v>
      </c>
    </row>
    <row r="170" customFormat="false" ht="15" hidden="false" customHeight="true" outlineLevel="0" collapsed="false">
      <c r="A170" s="8" t="n">
        <v>167</v>
      </c>
      <c r="B170" s="9" t="s">
        <v>648</v>
      </c>
      <c r="C170" s="9" t="s">
        <v>742</v>
      </c>
      <c r="D170" s="9" t="s">
        <v>743</v>
      </c>
      <c r="E170" s="10" t="s">
        <v>744</v>
      </c>
      <c r="F170" s="11" t="s">
        <v>745</v>
      </c>
      <c r="G170" s="9" t="s">
        <v>746</v>
      </c>
      <c r="H170" s="12" t="s">
        <v>35</v>
      </c>
      <c r="I170" s="30" t="n">
        <v>8.5</v>
      </c>
      <c r="J170" s="30" t="n">
        <v>8</v>
      </c>
      <c r="K170" s="8" t="n">
        <v>9.5</v>
      </c>
      <c r="L170" s="8" t="n">
        <v>5</v>
      </c>
      <c r="M170" s="8" t="n">
        <v>5</v>
      </c>
      <c r="N170" s="8" t="n">
        <v>10</v>
      </c>
      <c r="O170" s="8" t="n">
        <v>8</v>
      </c>
      <c r="P170" s="8" t="n">
        <v>4</v>
      </c>
      <c r="Q170" s="14" t="n">
        <v>800</v>
      </c>
      <c r="R170" s="8" t="n">
        <v>6</v>
      </c>
      <c r="S170" s="8" t="n">
        <v>6</v>
      </c>
      <c r="T170" s="9" t="s">
        <v>94</v>
      </c>
      <c r="U170" s="8" t="s">
        <v>457</v>
      </c>
      <c r="V170" s="8" t="n">
        <v>10</v>
      </c>
      <c r="W170" s="8" t="n">
        <v>8.5</v>
      </c>
      <c r="X170" s="8" t="n">
        <v>7.5</v>
      </c>
      <c r="Y170" s="26" t="s">
        <v>50</v>
      </c>
      <c r="Z170" s="16" t="s">
        <v>51</v>
      </c>
      <c r="AA170" s="17" t="n">
        <f aca="false">ROUND(K170*0.12 + I170*0.08 + J170*0.07 + L170*0.06 + M170*0.06 + N170*0.08 + O170*0.06 + R170*0.09 + S170*0.04 + V170*0.13 + W170*0.11 + X170*0.08 + (I170+J170)/2*0.02, 2)</f>
        <v>8.04</v>
      </c>
    </row>
    <row r="171" customFormat="false" ht="15" hidden="false" customHeight="true" outlineLevel="0" collapsed="false">
      <c r="A171" s="18" t="n">
        <v>168</v>
      </c>
      <c r="B171" s="19" t="s">
        <v>648</v>
      </c>
      <c r="C171" s="19" t="s">
        <v>742</v>
      </c>
      <c r="D171" s="19" t="s">
        <v>747</v>
      </c>
      <c r="E171" s="20" t="s">
        <v>748</v>
      </c>
      <c r="F171" s="21" t="s">
        <v>749</v>
      </c>
      <c r="G171" s="19" t="s">
        <v>750</v>
      </c>
      <c r="H171" s="12" t="s">
        <v>35</v>
      </c>
      <c r="I171" s="30" t="n">
        <v>8.5</v>
      </c>
      <c r="J171" s="30" t="n">
        <v>8</v>
      </c>
      <c r="K171" s="18" t="n">
        <v>9.5</v>
      </c>
      <c r="L171" s="18" t="n">
        <v>6</v>
      </c>
      <c r="M171" s="18" t="n">
        <v>4</v>
      </c>
      <c r="N171" s="18" t="n">
        <v>9</v>
      </c>
      <c r="O171" s="18" t="n">
        <v>8</v>
      </c>
      <c r="P171" s="18" t="n">
        <v>5</v>
      </c>
      <c r="Q171" s="22" t="n">
        <v>600</v>
      </c>
      <c r="R171" s="18" t="n">
        <v>5</v>
      </c>
      <c r="S171" s="18" t="n">
        <v>6</v>
      </c>
      <c r="T171" s="19" t="s">
        <v>114</v>
      </c>
      <c r="U171" s="18" t="s">
        <v>457</v>
      </c>
      <c r="V171" s="18" t="n">
        <v>10</v>
      </c>
      <c r="W171" s="18" t="n">
        <v>8</v>
      </c>
      <c r="X171" s="18" t="n">
        <v>8</v>
      </c>
      <c r="Y171" s="29" t="s">
        <v>96</v>
      </c>
      <c r="Z171" s="24" t="s">
        <v>220</v>
      </c>
      <c r="AA171" s="25" t="n">
        <f aca="false">ROUND(K171*0.12 + I171*0.08 + J171*0.07 + L171*0.06 + M171*0.06 + N171*0.08 + O171*0.06 + R171*0.09 + S171*0.04 + V171*0.13 + W171*0.11 + X171*0.08 + (I171+J171)/2*0.02, 2)</f>
        <v>7.86</v>
      </c>
    </row>
    <row r="172" customFormat="false" ht="15" hidden="false" customHeight="true" outlineLevel="0" collapsed="false">
      <c r="A172" s="8" t="n">
        <v>169</v>
      </c>
      <c r="B172" s="9" t="s">
        <v>648</v>
      </c>
      <c r="C172" s="9" t="s">
        <v>742</v>
      </c>
      <c r="D172" s="9" t="s">
        <v>751</v>
      </c>
      <c r="E172" s="10" t="s">
        <v>752</v>
      </c>
      <c r="F172" s="11" t="s">
        <v>753</v>
      </c>
      <c r="G172" s="9" t="s">
        <v>668</v>
      </c>
      <c r="H172" s="12" t="s">
        <v>35</v>
      </c>
      <c r="I172" s="30" t="n">
        <v>8.5</v>
      </c>
      <c r="J172" s="30" t="n">
        <v>8</v>
      </c>
      <c r="K172" s="8" t="n">
        <v>8.8</v>
      </c>
      <c r="L172" s="8" t="n">
        <v>5</v>
      </c>
      <c r="M172" s="8" t="n">
        <v>5</v>
      </c>
      <c r="N172" s="8" t="n">
        <v>9</v>
      </c>
      <c r="O172" s="8" t="n">
        <v>8</v>
      </c>
      <c r="P172" s="8" t="n">
        <v>4</v>
      </c>
      <c r="Q172" s="14" t="n">
        <v>700</v>
      </c>
      <c r="R172" s="8" t="n">
        <v>7</v>
      </c>
      <c r="S172" s="8" t="n">
        <v>6</v>
      </c>
      <c r="T172" s="9" t="s">
        <v>65</v>
      </c>
      <c r="U172" s="8" t="s">
        <v>457</v>
      </c>
      <c r="V172" s="8" t="n">
        <v>9</v>
      </c>
      <c r="W172" s="8" t="n">
        <v>8</v>
      </c>
      <c r="X172" s="8" t="n">
        <v>7.5</v>
      </c>
      <c r="Y172" s="26" t="s">
        <v>50</v>
      </c>
      <c r="Z172" s="16" t="s">
        <v>51</v>
      </c>
      <c r="AA172" s="17" t="n">
        <f aca="false">ROUND(K172*0.12 + I172*0.08 + J172*0.07 + L172*0.06 + M172*0.06 + N172*0.08 + O172*0.06 + R172*0.09 + S172*0.04 + V172*0.13 + W172*0.11 + X172*0.08 + (I172+J172)/2*0.02, 2)</f>
        <v>7.78</v>
      </c>
    </row>
    <row r="173" customFormat="false" ht="15" hidden="false" customHeight="true" outlineLevel="0" collapsed="false">
      <c r="A173" s="18" t="n">
        <v>170</v>
      </c>
      <c r="B173" s="19" t="s">
        <v>648</v>
      </c>
      <c r="C173" s="19" t="s">
        <v>754</v>
      </c>
      <c r="D173" s="19" t="s">
        <v>755</v>
      </c>
      <c r="E173" s="20" t="s">
        <v>756</v>
      </c>
      <c r="F173" s="21" t="s">
        <v>757</v>
      </c>
      <c r="G173" s="19" t="s">
        <v>668</v>
      </c>
      <c r="H173" s="12" t="s">
        <v>35</v>
      </c>
      <c r="I173" s="30" t="n">
        <v>8</v>
      </c>
      <c r="J173" s="30" t="n">
        <v>7.5</v>
      </c>
      <c r="K173" s="18" t="n">
        <v>9.3</v>
      </c>
      <c r="L173" s="18" t="n">
        <v>6</v>
      </c>
      <c r="M173" s="18" t="n">
        <v>6</v>
      </c>
      <c r="N173" s="18" t="n">
        <v>10</v>
      </c>
      <c r="O173" s="18" t="n">
        <v>9</v>
      </c>
      <c r="P173" s="18" t="n">
        <v>4</v>
      </c>
      <c r="Q173" s="22" t="n">
        <v>600</v>
      </c>
      <c r="R173" s="18" t="n">
        <v>8</v>
      </c>
      <c r="S173" s="18" t="n">
        <v>7</v>
      </c>
      <c r="T173" s="19" t="s">
        <v>114</v>
      </c>
      <c r="U173" s="18" t="s">
        <v>163</v>
      </c>
      <c r="V173" s="18" t="n">
        <v>9</v>
      </c>
      <c r="W173" s="18" t="n">
        <v>9</v>
      </c>
      <c r="X173" s="18" t="n">
        <v>8.5</v>
      </c>
      <c r="Y173" s="26" t="s">
        <v>50</v>
      </c>
      <c r="Z173" s="24" t="s">
        <v>168</v>
      </c>
      <c r="AA173" s="25" t="n">
        <f aca="false">ROUND(K173*0.12 + I173*0.08 + J173*0.07 + L173*0.06 + M173*0.06 + N173*0.08 + O173*0.06 + R173*0.09 + S173*0.04 + V173*0.13 + W173*0.11 + X173*0.08 + (I173+J173)/2*0.02, 2)</f>
        <v>8.34</v>
      </c>
    </row>
    <row r="174" customFormat="false" ht="15" hidden="false" customHeight="true" outlineLevel="0" collapsed="false">
      <c r="A174" s="8" t="n">
        <v>171</v>
      </c>
      <c r="B174" s="9" t="s">
        <v>648</v>
      </c>
      <c r="C174" s="9" t="s">
        <v>754</v>
      </c>
      <c r="D174" s="9" t="s">
        <v>755</v>
      </c>
      <c r="E174" s="10" t="s">
        <v>758</v>
      </c>
      <c r="F174" s="11" t="s">
        <v>759</v>
      </c>
      <c r="G174" s="9" t="s">
        <v>760</v>
      </c>
      <c r="H174" s="12" t="s">
        <v>35</v>
      </c>
      <c r="I174" s="30" t="n">
        <v>8</v>
      </c>
      <c r="J174" s="30" t="n">
        <v>7.5</v>
      </c>
      <c r="K174" s="8" t="n">
        <v>9</v>
      </c>
      <c r="L174" s="8" t="n">
        <v>6</v>
      </c>
      <c r="M174" s="8" t="n">
        <v>8</v>
      </c>
      <c r="N174" s="8" t="n">
        <v>9</v>
      </c>
      <c r="O174" s="8" t="n">
        <v>8</v>
      </c>
      <c r="P174" s="8" t="n">
        <v>3</v>
      </c>
      <c r="Q174" s="14" t="n">
        <v>600</v>
      </c>
      <c r="R174" s="8" t="n">
        <v>8</v>
      </c>
      <c r="S174" s="8" t="n">
        <v>8</v>
      </c>
      <c r="T174" s="9" t="s">
        <v>36</v>
      </c>
      <c r="U174" s="9" t="s">
        <v>248</v>
      </c>
      <c r="V174" s="8" t="n">
        <v>8</v>
      </c>
      <c r="W174" s="8" t="n">
        <v>9</v>
      </c>
      <c r="X174" s="8" t="n">
        <v>8</v>
      </c>
      <c r="Y174" s="23" t="s">
        <v>45</v>
      </c>
      <c r="Z174" s="16" t="s">
        <v>46</v>
      </c>
      <c r="AA174" s="17" t="n">
        <f aca="false">ROUND(K174*0.12 + I174*0.08 + J174*0.07 + L174*0.06 + M174*0.06 + N174*0.08 + O174*0.06 + R174*0.09 + S174*0.04 + V174*0.13 + W174*0.11 + X174*0.08 + (I174+J174)/2*0.02, 2)</f>
        <v>8.15</v>
      </c>
    </row>
    <row r="175" customFormat="false" ht="15" hidden="false" customHeight="true" outlineLevel="0" collapsed="false">
      <c r="A175" s="18" t="n">
        <v>172</v>
      </c>
      <c r="B175" s="19" t="s">
        <v>648</v>
      </c>
      <c r="C175" s="19" t="s">
        <v>754</v>
      </c>
      <c r="D175" s="19" t="s">
        <v>755</v>
      </c>
      <c r="E175" s="20" t="s">
        <v>761</v>
      </c>
      <c r="F175" s="21" t="s">
        <v>762</v>
      </c>
      <c r="G175" s="19" t="s">
        <v>763</v>
      </c>
      <c r="H175" s="12" t="s">
        <v>35</v>
      </c>
      <c r="I175" s="30" t="n">
        <v>8</v>
      </c>
      <c r="J175" s="30" t="n">
        <v>7.5</v>
      </c>
      <c r="K175" s="18" t="n">
        <v>9.2</v>
      </c>
      <c r="L175" s="18" t="n">
        <v>6</v>
      </c>
      <c r="M175" s="18" t="n">
        <v>7</v>
      </c>
      <c r="N175" s="18" t="n">
        <v>10</v>
      </c>
      <c r="O175" s="18" t="n">
        <v>8</v>
      </c>
      <c r="P175" s="18" t="n">
        <v>3</v>
      </c>
      <c r="Q175" s="22" t="n">
        <v>600</v>
      </c>
      <c r="R175" s="18" t="n">
        <v>8</v>
      </c>
      <c r="S175" s="18" t="n">
        <v>8</v>
      </c>
      <c r="T175" s="19" t="s">
        <v>114</v>
      </c>
      <c r="U175" s="18" t="s">
        <v>163</v>
      </c>
      <c r="V175" s="18" t="n">
        <v>9</v>
      </c>
      <c r="W175" s="18" t="n">
        <v>9</v>
      </c>
      <c r="X175" s="18" t="n">
        <v>8</v>
      </c>
      <c r="Y175" s="23" t="s">
        <v>45</v>
      </c>
      <c r="Z175" s="24" t="s">
        <v>46</v>
      </c>
      <c r="AA175" s="25" t="n">
        <f aca="false">ROUND(K175*0.12 + I175*0.08 + J175*0.07 + L175*0.06 + M175*0.06 + N175*0.08 + O175*0.06 + R175*0.09 + S175*0.04 + V175*0.13 + W175*0.11 + X175*0.08 + (I175+J175)/2*0.02, 2)</f>
        <v>8.32</v>
      </c>
    </row>
    <row r="176" customFormat="false" ht="15" hidden="false" customHeight="true" outlineLevel="0" collapsed="false">
      <c r="A176" s="8" t="n">
        <v>173</v>
      </c>
      <c r="B176" s="9" t="s">
        <v>648</v>
      </c>
      <c r="C176" s="9" t="s">
        <v>764</v>
      </c>
      <c r="D176" s="9" t="s">
        <v>765</v>
      </c>
      <c r="E176" s="10" t="s">
        <v>766</v>
      </c>
      <c r="F176" s="11" t="s">
        <v>767</v>
      </c>
      <c r="G176" s="9" t="s">
        <v>417</v>
      </c>
      <c r="H176" s="12" t="s">
        <v>35</v>
      </c>
      <c r="I176" s="30" t="n">
        <v>7.5</v>
      </c>
      <c r="J176" s="30" t="n">
        <v>7.5</v>
      </c>
      <c r="K176" s="8" t="n">
        <v>8.5</v>
      </c>
      <c r="L176" s="8" t="n">
        <v>5</v>
      </c>
      <c r="M176" s="8" t="n">
        <v>5</v>
      </c>
      <c r="N176" s="8" t="n">
        <v>8</v>
      </c>
      <c r="O176" s="8" t="n">
        <v>8</v>
      </c>
      <c r="P176" s="8" t="n">
        <v>2</v>
      </c>
      <c r="Q176" s="14" t="n">
        <v>300</v>
      </c>
      <c r="R176" s="8" t="n">
        <v>6</v>
      </c>
      <c r="S176" s="8" t="n">
        <v>7</v>
      </c>
      <c r="T176" s="9" t="s">
        <v>65</v>
      </c>
      <c r="U176" s="8" t="s">
        <v>348</v>
      </c>
      <c r="V176" s="8" t="n">
        <v>8.5</v>
      </c>
      <c r="W176" s="8" t="n">
        <v>7.5</v>
      </c>
      <c r="X176" s="8" t="n">
        <v>9</v>
      </c>
      <c r="Y176" s="26" t="s">
        <v>50</v>
      </c>
      <c r="Z176" s="16" t="s">
        <v>51</v>
      </c>
      <c r="AA176" s="17" t="n">
        <f aca="false">ROUND(K176*0.12 + I176*0.08 + J176*0.07 + L176*0.06 + M176*0.06 + N176*0.08 + O176*0.06 + R176*0.09 + S176*0.04 + V176*0.13 + W176*0.11 + X176*0.08 + (I176+J176)/2*0.02, 2)</f>
        <v>7.49</v>
      </c>
    </row>
    <row r="177" customFormat="false" ht="15" hidden="false" customHeight="true" outlineLevel="0" collapsed="false">
      <c r="A177" s="18" t="n">
        <v>174</v>
      </c>
      <c r="B177" s="19" t="s">
        <v>648</v>
      </c>
      <c r="C177" s="19" t="s">
        <v>764</v>
      </c>
      <c r="D177" s="19" t="s">
        <v>768</v>
      </c>
      <c r="E177" s="20" t="s">
        <v>769</v>
      </c>
      <c r="F177" s="21" t="s">
        <v>770</v>
      </c>
      <c r="G177" s="19" t="s">
        <v>49</v>
      </c>
      <c r="H177" s="12" t="s">
        <v>35</v>
      </c>
      <c r="I177" s="30" t="n">
        <v>7.5</v>
      </c>
      <c r="J177" s="30" t="n">
        <v>7.5</v>
      </c>
      <c r="K177" s="18" t="n">
        <v>9</v>
      </c>
      <c r="L177" s="18" t="n">
        <v>5</v>
      </c>
      <c r="M177" s="18" t="n">
        <v>5</v>
      </c>
      <c r="N177" s="18" t="n">
        <v>8</v>
      </c>
      <c r="O177" s="18" t="n">
        <v>8</v>
      </c>
      <c r="P177" s="18" t="n">
        <v>4</v>
      </c>
      <c r="Q177" s="22" t="n">
        <v>300</v>
      </c>
      <c r="R177" s="18" t="n">
        <v>5</v>
      </c>
      <c r="S177" s="18" t="n">
        <v>6</v>
      </c>
      <c r="T177" s="19" t="s">
        <v>94</v>
      </c>
      <c r="U177" s="18" t="s">
        <v>457</v>
      </c>
      <c r="V177" s="18" t="n">
        <v>9.5</v>
      </c>
      <c r="W177" s="18" t="n">
        <v>7</v>
      </c>
      <c r="X177" s="18" t="n">
        <v>9.5</v>
      </c>
      <c r="Y177" s="26" t="s">
        <v>50</v>
      </c>
      <c r="Z177" s="24" t="s">
        <v>51</v>
      </c>
      <c r="AA177" s="25" t="n">
        <f aca="false">ROUND(K177*0.12 + I177*0.08 + J177*0.07 + L177*0.06 + M177*0.06 + N177*0.08 + O177*0.06 + R177*0.09 + S177*0.04 + V177*0.13 + W177*0.11 + X177*0.08 + (I177+J177)/2*0.02, 2)</f>
        <v>7.53</v>
      </c>
    </row>
    <row r="178" customFormat="false" ht="15" hidden="false" customHeight="true" outlineLevel="0" collapsed="false">
      <c r="A178" s="8" t="n">
        <v>175</v>
      </c>
      <c r="B178" s="9" t="s">
        <v>648</v>
      </c>
      <c r="C178" s="9" t="s">
        <v>771</v>
      </c>
      <c r="D178" s="9" t="s">
        <v>772</v>
      </c>
      <c r="E178" s="10" t="s">
        <v>773</v>
      </c>
      <c r="F178" s="11" t="s">
        <v>774</v>
      </c>
      <c r="G178" s="9" t="s">
        <v>775</v>
      </c>
      <c r="H178" s="12" t="s">
        <v>35</v>
      </c>
      <c r="I178" s="30" t="n">
        <v>7.5</v>
      </c>
      <c r="J178" s="30" t="n">
        <v>7.5</v>
      </c>
      <c r="K178" s="8" t="n">
        <v>8.5</v>
      </c>
      <c r="L178" s="8" t="n">
        <v>7</v>
      </c>
      <c r="M178" s="8" t="n">
        <v>5</v>
      </c>
      <c r="N178" s="8" t="n">
        <v>8</v>
      </c>
      <c r="O178" s="8" t="n">
        <v>8</v>
      </c>
      <c r="P178" s="8" t="n">
        <v>3</v>
      </c>
      <c r="Q178" s="14" t="n">
        <v>350</v>
      </c>
      <c r="R178" s="8" t="n">
        <v>6</v>
      </c>
      <c r="S178" s="8" t="n">
        <v>7</v>
      </c>
      <c r="T178" s="9" t="s">
        <v>94</v>
      </c>
      <c r="U178" s="8" t="s">
        <v>457</v>
      </c>
      <c r="V178" s="8" t="n">
        <v>8</v>
      </c>
      <c r="W178" s="8" t="n">
        <v>7</v>
      </c>
      <c r="X178" s="8" t="n">
        <v>8.5</v>
      </c>
      <c r="Y178" s="26" t="s">
        <v>50</v>
      </c>
      <c r="Z178" s="16" t="s">
        <v>51</v>
      </c>
      <c r="AA178" s="17" t="n">
        <f aca="false">ROUND(K178*0.12 + I178*0.08 + J178*0.07 + L178*0.06 + M178*0.06 + N178*0.08 + O178*0.06 + R178*0.09 + S178*0.04 + V178*0.13 + W178*0.11 + X178*0.08 + (I178+J178)/2*0.02, 2)</f>
        <v>7.45</v>
      </c>
    </row>
    <row r="179" customFormat="false" ht="15" hidden="false" customHeight="true" outlineLevel="0" collapsed="false">
      <c r="A179" s="18" t="n">
        <v>176</v>
      </c>
      <c r="B179" s="19" t="s">
        <v>648</v>
      </c>
      <c r="C179" s="19" t="s">
        <v>771</v>
      </c>
      <c r="D179" s="19" t="s">
        <v>776</v>
      </c>
      <c r="E179" s="20" t="s">
        <v>777</v>
      </c>
      <c r="F179" s="21" t="s">
        <v>778</v>
      </c>
      <c r="G179" s="19" t="s">
        <v>553</v>
      </c>
      <c r="H179" s="12" t="s">
        <v>35</v>
      </c>
      <c r="I179" s="30" t="n">
        <v>7.5</v>
      </c>
      <c r="J179" s="30" t="n">
        <v>7.5</v>
      </c>
      <c r="K179" s="18" t="n">
        <v>8.5</v>
      </c>
      <c r="L179" s="18" t="n">
        <v>5</v>
      </c>
      <c r="M179" s="18" t="n">
        <v>5</v>
      </c>
      <c r="N179" s="18" t="n">
        <v>8</v>
      </c>
      <c r="O179" s="18" t="n">
        <v>8</v>
      </c>
      <c r="P179" s="18" t="n">
        <v>3</v>
      </c>
      <c r="Q179" s="22" t="n">
        <v>300</v>
      </c>
      <c r="R179" s="18" t="n">
        <v>5</v>
      </c>
      <c r="S179" s="18" t="n">
        <v>7</v>
      </c>
      <c r="T179" s="19" t="s">
        <v>65</v>
      </c>
      <c r="U179" s="18" t="s">
        <v>550</v>
      </c>
      <c r="V179" s="18" t="n">
        <v>9</v>
      </c>
      <c r="W179" s="18" t="n">
        <v>6.5</v>
      </c>
      <c r="X179" s="18" t="n">
        <v>9</v>
      </c>
      <c r="Y179" s="26" t="s">
        <v>50</v>
      </c>
      <c r="Z179" s="24" t="s">
        <v>51</v>
      </c>
      <c r="AA179" s="25" t="n">
        <f aca="false">ROUND(K179*0.12 + I179*0.08 + J179*0.07 + L179*0.06 + M179*0.06 + N179*0.08 + O179*0.06 + R179*0.09 + S179*0.04 + V179*0.13 + W179*0.11 + X179*0.08 + (I179+J179)/2*0.02, 2)</f>
        <v>7.35</v>
      </c>
    </row>
    <row r="180" customFormat="false" ht="15" hidden="false" customHeight="true" outlineLevel="0" collapsed="false">
      <c r="A180" s="8" t="n">
        <v>177</v>
      </c>
      <c r="B180" s="9" t="s">
        <v>648</v>
      </c>
      <c r="C180" s="9" t="s">
        <v>779</v>
      </c>
      <c r="D180" s="9" t="s">
        <v>780</v>
      </c>
      <c r="E180" s="10" t="s">
        <v>781</v>
      </c>
      <c r="F180" s="11" t="s">
        <v>782</v>
      </c>
      <c r="G180" s="9" t="s">
        <v>34</v>
      </c>
      <c r="H180" s="12" t="s">
        <v>35</v>
      </c>
      <c r="I180" s="30" t="n">
        <v>8.5</v>
      </c>
      <c r="J180" s="30" t="n">
        <v>8</v>
      </c>
      <c r="K180" s="8" t="n">
        <v>9.2</v>
      </c>
      <c r="L180" s="8" t="n">
        <v>6</v>
      </c>
      <c r="M180" s="8" t="n">
        <v>6</v>
      </c>
      <c r="N180" s="8" t="n">
        <v>9</v>
      </c>
      <c r="O180" s="8" t="n">
        <v>9</v>
      </c>
      <c r="P180" s="8" t="n">
        <v>4</v>
      </c>
      <c r="Q180" s="14" t="n">
        <v>400</v>
      </c>
      <c r="R180" s="8" t="n">
        <v>7</v>
      </c>
      <c r="S180" s="8" t="n">
        <v>7</v>
      </c>
      <c r="T180" s="9" t="s">
        <v>65</v>
      </c>
      <c r="U180" s="8" t="s">
        <v>348</v>
      </c>
      <c r="V180" s="8" t="n">
        <v>9.5</v>
      </c>
      <c r="W180" s="8" t="n">
        <v>9</v>
      </c>
      <c r="X180" s="8" t="n">
        <v>9</v>
      </c>
      <c r="Y180" s="26" t="s">
        <v>50</v>
      </c>
      <c r="Z180" s="16" t="s">
        <v>168</v>
      </c>
      <c r="AA180" s="17" t="n">
        <f aca="false">ROUND(K180*0.12 + I180*0.08 + J180*0.07 + L180*0.06 + M180*0.06 + N180*0.08 + O180*0.06 + R180*0.09 + S180*0.04 + V180*0.13 + W180*0.11 + X180*0.08 + (I180+J180)/2*0.02, 2)</f>
        <v>8.34</v>
      </c>
    </row>
    <row r="181" customFormat="false" ht="15" hidden="false" customHeight="true" outlineLevel="0" collapsed="false">
      <c r="A181" s="18" t="n">
        <v>178</v>
      </c>
      <c r="B181" s="19" t="s">
        <v>648</v>
      </c>
      <c r="C181" s="19" t="s">
        <v>779</v>
      </c>
      <c r="D181" s="19" t="s">
        <v>783</v>
      </c>
      <c r="E181" s="20" t="s">
        <v>784</v>
      </c>
      <c r="F181" s="21" t="s">
        <v>785</v>
      </c>
      <c r="G181" s="19" t="s">
        <v>453</v>
      </c>
      <c r="H181" s="12" t="s">
        <v>35</v>
      </c>
      <c r="I181" s="30" t="n">
        <v>8.5</v>
      </c>
      <c r="J181" s="30" t="n">
        <v>8</v>
      </c>
      <c r="K181" s="18" t="n">
        <v>9</v>
      </c>
      <c r="L181" s="18" t="n">
        <v>3</v>
      </c>
      <c r="M181" s="18" t="n">
        <v>4</v>
      </c>
      <c r="N181" s="18" t="n">
        <v>7</v>
      </c>
      <c r="O181" s="18" t="n">
        <v>8</v>
      </c>
      <c r="P181" s="18" t="n">
        <v>4</v>
      </c>
      <c r="Q181" s="22" t="n">
        <v>350</v>
      </c>
      <c r="R181" s="18" t="n">
        <v>6</v>
      </c>
      <c r="S181" s="18" t="n">
        <v>8</v>
      </c>
      <c r="T181" s="19" t="s">
        <v>114</v>
      </c>
      <c r="U181" s="18" t="s">
        <v>163</v>
      </c>
      <c r="V181" s="18" t="n">
        <v>10</v>
      </c>
      <c r="W181" s="18" t="n">
        <v>8</v>
      </c>
      <c r="X181" s="18" t="n">
        <v>9.5</v>
      </c>
      <c r="Y181" s="28" t="s">
        <v>134</v>
      </c>
      <c r="Z181" s="24" t="s">
        <v>786</v>
      </c>
      <c r="AA181" s="25" t="n">
        <f aca="false">ROUND(K181*0.12 + I181*0.08 + J181*0.07 + L181*0.06 + M181*0.06 + N181*0.08 + O181*0.06 + R181*0.09 + S181*0.04 + V181*0.13 + W181*0.11 + X181*0.08 + (I181+J181)/2*0.02, 2)</f>
        <v>7.75</v>
      </c>
    </row>
    <row r="182" customFormat="false" ht="15" hidden="false" customHeight="true" outlineLevel="0" collapsed="false">
      <c r="A182" s="8" t="n">
        <v>179</v>
      </c>
      <c r="B182" s="9" t="s">
        <v>648</v>
      </c>
      <c r="C182" s="9" t="s">
        <v>779</v>
      </c>
      <c r="D182" s="9" t="s">
        <v>787</v>
      </c>
      <c r="E182" s="10" t="s">
        <v>788</v>
      </c>
      <c r="F182" s="11" t="s">
        <v>789</v>
      </c>
      <c r="G182" s="9" t="s">
        <v>34</v>
      </c>
      <c r="H182" s="12" t="s">
        <v>35</v>
      </c>
      <c r="I182" s="30" t="n">
        <v>8.5</v>
      </c>
      <c r="J182" s="30" t="n">
        <v>8</v>
      </c>
      <c r="K182" s="8" t="n">
        <v>8.5</v>
      </c>
      <c r="L182" s="8" t="n">
        <v>6</v>
      </c>
      <c r="M182" s="8" t="n">
        <v>6</v>
      </c>
      <c r="N182" s="8" t="n">
        <v>8</v>
      </c>
      <c r="O182" s="8" t="n">
        <v>8</v>
      </c>
      <c r="P182" s="8" t="n">
        <v>3</v>
      </c>
      <c r="Q182" s="14" t="n">
        <v>400</v>
      </c>
      <c r="R182" s="8" t="n">
        <v>8</v>
      </c>
      <c r="S182" s="8" t="n">
        <v>7</v>
      </c>
      <c r="T182" s="9" t="s">
        <v>65</v>
      </c>
      <c r="U182" s="8" t="s">
        <v>348</v>
      </c>
      <c r="V182" s="8" t="n">
        <v>8.5</v>
      </c>
      <c r="W182" s="8" t="n">
        <v>8.5</v>
      </c>
      <c r="X182" s="8" t="n">
        <v>8.5</v>
      </c>
      <c r="Y182" s="23" t="s">
        <v>45</v>
      </c>
      <c r="Z182" s="16" t="s">
        <v>46</v>
      </c>
      <c r="AA182" s="17" t="n">
        <f aca="false">ROUND(K182*0.12 + I182*0.08 + J182*0.07 + L182*0.06 + M182*0.06 + N182*0.08 + O182*0.06 + R182*0.09 + S182*0.04 + V182*0.13 + W182*0.11 + X182*0.08 + (I182+J182)/2*0.02, 2)</f>
        <v>7.99</v>
      </c>
    </row>
    <row r="183" customFormat="false" ht="15" hidden="false" customHeight="true" outlineLevel="0" collapsed="false">
      <c r="A183" s="18" t="n">
        <v>180</v>
      </c>
      <c r="B183" s="19" t="s">
        <v>648</v>
      </c>
      <c r="C183" s="19" t="s">
        <v>790</v>
      </c>
      <c r="D183" s="19" t="s">
        <v>791</v>
      </c>
      <c r="E183" s="20" t="s">
        <v>792</v>
      </c>
      <c r="F183" s="21" t="s">
        <v>793</v>
      </c>
      <c r="G183" s="19" t="s">
        <v>34</v>
      </c>
      <c r="H183" s="12" t="s">
        <v>35</v>
      </c>
      <c r="I183" s="13" t="n">
        <v>9</v>
      </c>
      <c r="J183" s="30" t="n">
        <v>8.5</v>
      </c>
      <c r="K183" s="18" t="n">
        <v>9</v>
      </c>
      <c r="L183" s="18" t="n">
        <v>6</v>
      </c>
      <c r="M183" s="18" t="n">
        <v>6</v>
      </c>
      <c r="N183" s="18" t="n">
        <v>9</v>
      </c>
      <c r="O183" s="18" t="n">
        <v>9</v>
      </c>
      <c r="P183" s="18" t="n">
        <v>4</v>
      </c>
      <c r="Q183" s="22" t="n">
        <v>500</v>
      </c>
      <c r="R183" s="18" t="n">
        <v>7</v>
      </c>
      <c r="S183" s="18" t="n">
        <v>7</v>
      </c>
      <c r="T183" s="19" t="s">
        <v>65</v>
      </c>
      <c r="U183" s="18" t="s">
        <v>348</v>
      </c>
      <c r="V183" s="18" t="n">
        <v>9.5</v>
      </c>
      <c r="W183" s="18" t="n">
        <v>9</v>
      </c>
      <c r="X183" s="18" t="n">
        <v>8.5</v>
      </c>
      <c r="Y183" s="26" t="s">
        <v>50</v>
      </c>
      <c r="Z183" s="24" t="s">
        <v>168</v>
      </c>
      <c r="AA183" s="25" t="n">
        <f aca="false">ROUND(K183*0.12 + I183*0.08 + J183*0.07 + L183*0.06 + M183*0.06 + N183*0.08 + O183*0.06 + R183*0.09 + S183*0.04 + V183*0.13 + W183*0.11 + X183*0.08 + (I183+J183)/2*0.02, 2)</f>
        <v>8.37</v>
      </c>
    </row>
    <row r="184" customFormat="false" ht="15" hidden="false" customHeight="true" outlineLevel="0" collapsed="false">
      <c r="A184" s="8" t="n">
        <v>181</v>
      </c>
      <c r="B184" s="9" t="s">
        <v>648</v>
      </c>
      <c r="C184" s="9" t="s">
        <v>794</v>
      </c>
      <c r="D184" s="9" t="s">
        <v>795</v>
      </c>
      <c r="E184" s="10" t="s">
        <v>796</v>
      </c>
      <c r="F184" s="11" t="s">
        <v>797</v>
      </c>
      <c r="G184" s="9" t="s">
        <v>34</v>
      </c>
      <c r="H184" s="12" t="s">
        <v>35</v>
      </c>
      <c r="I184" s="30" t="n">
        <v>8.5</v>
      </c>
      <c r="J184" s="30" t="n">
        <v>8</v>
      </c>
      <c r="K184" s="8" t="n">
        <v>8.8</v>
      </c>
      <c r="L184" s="8" t="n">
        <v>5</v>
      </c>
      <c r="M184" s="8" t="n">
        <v>5</v>
      </c>
      <c r="N184" s="8" t="n">
        <v>8</v>
      </c>
      <c r="O184" s="8" t="n">
        <v>9</v>
      </c>
      <c r="P184" s="8" t="n">
        <v>4</v>
      </c>
      <c r="Q184" s="14" t="n">
        <v>450</v>
      </c>
      <c r="R184" s="8" t="n">
        <v>7</v>
      </c>
      <c r="S184" s="8" t="n">
        <v>7</v>
      </c>
      <c r="T184" s="9" t="s">
        <v>65</v>
      </c>
      <c r="U184" s="8" t="s">
        <v>348</v>
      </c>
      <c r="V184" s="8" t="n">
        <v>9</v>
      </c>
      <c r="W184" s="8" t="n">
        <v>8.5</v>
      </c>
      <c r="X184" s="8" t="n">
        <v>8.5</v>
      </c>
      <c r="Y184" s="26" t="s">
        <v>50</v>
      </c>
      <c r="Z184" s="16" t="s">
        <v>51</v>
      </c>
      <c r="AA184" s="17" t="n">
        <f aca="false">ROUND(K184*0.12 + I184*0.08 + J184*0.07 + L184*0.06 + M184*0.06 + N184*0.08 + O184*0.06 + R184*0.09 + S184*0.04 + V184*0.13 + W184*0.11 + X184*0.08 + (I184+J184)/2*0.02, 2)</f>
        <v>7.94</v>
      </c>
    </row>
    <row r="185" customFormat="false" ht="15" hidden="false" customHeight="true" outlineLevel="0" collapsed="false">
      <c r="A185" s="18" t="n">
        <v>182</v>
      </c>
      <c r="B185" s="19" t="s">
        <v>798</v>
      </c>
      <c r="C185" s="19" t="s">
        <v>799</v>
      </c>
      <c r="D185" s="19" t="s">
        <v>800</v>
      </c>
      <c r="E185" s="20" t="s">
        <v>801</v>
      </c>
      <c r="F185" s="21" t="s">
        <v>802</v>
      </c>
      <c r="G185" s="19" t="s">
        <v>214</v>
      </c>
      <c r="H185" s="12" t="s">
        <v>202</v>
      </c>
      <c r="I185" s="30" t="n">
        <v>8.5</v>
      </c>
      <c r="J185" s="30" t="n">
        <v>8.5</v>
      </c>
      <c r="K185" s="18" t="n">
        <v>9.5</v>
      </c>
      <c r="L185" s="18" t="n">
        <v>6</v>
      </c>
      <c r="M185" s="18" t="n">
        <v>4</v>
      </c>
      <c r="N185" s="18" t="n">
        <v>10</v>
      </c>
      <c r="O185" s="18" t="n">
        <v>6</v>
      </c>
      <c r="P185" s="18" t="n">
        <v>7</v>
      </c>
      <c r="Q185" s="22" t="n">
        <v>2000</v>
      </c>
      <c r="R185" s="18" t="n">
        <v>6</v>
      </c>
      <c r="S185" s="18" t="n">
        <v>6</v>
      </c>
      <c r="T185" s="19" t="s">
        <v>108</v>
      </c>
      <c r="U185" s="18" t="s">
        <v>215</v>
      </c>
      <c r="V185" s="18" t="n">
        <v>9</v>
      </c>
      <c r="W185" s="18" t="n">
        <v>9</v>
      </c>
      <c r="X185" s="18" t="n">
        <v>5.5</v>
      </c>
      <c r="Y185" s="27" t="s">
        <v>67</v>
      </c>
      <c r="Z185" s="24" t="s">
        <v>390</v>
      </c>
      <c r="AA185" s="25" t="n">
        <f aca="false">ROUND(K185*0.12 + I185*0.08 + J185*0.07 + L185*0.06 + M185*0.06 + N185*0.08 + O185*0.06 + R185*0.09 + S185*0.04 + V185*0.13 + W185*0.11 + X185*0.08 + (I185+J185)/2*0.02, 2)</f>
        <v>7.73</v>
      </c>
    </row>
    <row r="186" customFormat="false" ht="15" hidden="false" customHeight="true" outlineLevel="0" collapsed="false">
      <c r="A186" s="8" t="n">
        <v>183</v>
      </c>
      <c r="B186" s="9" t="s">
        <v>798</v>
      </c>
      <c r="C186" s="9" t="s">
        <v>803</v>
      </c>
      <c r="D186" s="9" t="s">
        <v>804</v>
      </c>
      <c r="E186" s="10" t="s">
        <v>805</v>
      </c>
      <c r="F186" s="11" t="s">
        <v>806</v>
      </c>
      <c r="G186" s="9" t="s">
        <v>167</v>
      </c>
      <c r="H186" s="31" t="s">
        <v>307</v>
      </c>
      <c r="I186" s="32" t="n">
        <v>7</v>
      </c>
      <c r="J186" s="32" t="n">
        <v>7</v>
      </c>
      <c r="K186" s="8" t="n">
        <v>9</v>
      </c>
      <c r="L186" s="8" t="n">
        <v>4</v>
      </c>
      <c r="M186" s="8" t="n">
        <v>3</v>
      </c>
      <c r="N186" s="8" t="n">
        <v>8</v>
      </c>
      <c r="O186" s="8" t="n">
        <v>8</v>
      </c>
      <c r="P186" s="8" t="n">
        <v>3</v>
      </c>
      <c r="Q186" s="14" t="n">
        <v>300</v>
      </c>
      <c r="R186" s="8" t="n">
        <v>5</v>
      </c>
      <c r="S186" s="8" t="n">
        <v>6</v>
      </c>
      <c r="T186" s="9" t="s">
        <v>108</v>
      </c>
      <c r="U186" s="8" t="s">
        <v>277</v>
      </c>
      <c r="V186" s="8" t="n">
        <v>9.5</v>
      </c>
      <c r="W186" s="8" t="n">
        <v>6.5</v>
      </c>
      <c r="X186" s="8" t="n">
        <v>9</v>
      </c>
      <c r="Y186" s="27" t="s">
        <v>67</v>
      </c>
      <c r="Z186" s="16" t="s">
        <v>295</v>
      </c>
      <c r="AA186" s="17" t="n">
        <f aca="false">ROUND(K186*0.12 + I186*0.08 + J186*0.07 + L186*0.06 + M186*0.06 + N186*0.08 + O186*0.06 + R186*0.09 + S186*0.04 + V186*0.13 + W186*0.11 + X186*0.08 + (I186+J186)/2*0.02, 2)</f>
        <v>7.17</v>
      </c>
    </row>
    <row r="187" customFormat="false" ht="15" hidden="false" customHeight="true" outlineLevel="0" collapsed="false">
      <c r="A187" s="18" t="n">
        <v>184</v>
      </c>
      <c r="B187" s="19" t="s">
        <v>798</v>
      </c>
      <c r="C187" s="19" t="s">
        <v>803</v>
      </c>
      <c r="D187" s="19" t="s">
        <v>807</v>
      </c>
      <c r="E187" s="20" t="s">
        <v>808</v>
      </c>
      <c r="F187" s="21" t="s">
        <v>809</v>
      </c>
      <c r="G187" s="19" t="s">
        <v>49</v>
      </c>
      <c r="H187" s="31" t="s">
        <v>307</v>
      </c>
      <c r="I187" s="32" t="n">
        <v>7</v>
      </c>
      <c r="J187" s="32" t="n">
        <v>7</v>
      </c>
      <c r="K187" s="18" t="n">
        <v>8.5</v>
      </c>
      <c r="L187" s="18" t="n">
        <v>5</v>
      </c>
      <c r="M187" s="18" t="n">
        <v>5</v>
      </c>
      <c r="N187" s="18" t="n">
        <v>7</v>
      </c>
      <c r="O187" s="18" t="n">
        <v>7</v>
      </c>
      <c r="P187" s="18" t="n">
        <v>3</v>
      </c>
      <c r="Q187" s="22" t="n">
        <v>300</v>
      </c>
      <c r="R187" s="18" t="n">
        <v>5</v>
      </c>
      <c r="S187" s="18" t="n">
        <v>7</v>
      </c>
      <c r="T187" s="19" t="s">
        <v>108</v>
      </c>
      <c r="U187" s="18" t="s">
        <v>277</v>
      </c>
      <c r="V187" s="18" t="n">
        <v>8.5</v>
      </c>
      <c r="W187" s="18" t="n">
        <v>7</v>
      </c>
      <c r="X187" s="18" t="n">
        <v>9</v>
      </c>
      <c r="Y187" s="26" t="s">
        <v>50</v>
      </c>
      <c r="Z187" s="24" t="s">
        <v>51</v>
      </c>
      <c r="AA187" s="25" t="n">
        <f aca="false">ROUND(K187*0.12 + I187*0.08 + J187*0.07 + L187*0.06 + M187*0.06 + N187*0.08 + O187*0.06 + R187*0.09 + S187*0.04 + V187*0.13 + W187*0.11 + X187*0.08 + (I187+J187)/2*0.02, 2)</f>
        <v>7.12</v>
      </c>
    </row>
    <row r="188" customFormat="false" ht="15" hidden="false" customHeight="true" outlineLevel="0" collapsed="false">
      <c r="A188" s="8" t="n">
        <v>185</v>
      </c>
      <c r="B188" s="9" t="s">
        <v>798</v>
      </c>
      <c r="C188" s="9" t="s">
        <v>810</v>
      </c>
      <c r="D188" s="9" t="s">
        <v>811</v>
      </c>
      <c r="E188" s="10" t="s">
        <v>812</v>
      </c>
      <c r="F188" s="11" t="s">
        <v>813</v>
      </c>
      <c r="G188" s="9" t="s">
        <v>34</v>
      </c>
      <c r="H188" s="33" t="s">
        <v>401</v>
      </c>
      <c r="I188" s="32" t="n">
        <v>7</v>
      </c>
      <c r="J188" s="30" t="n">
        <v>7.5</v>
      </c>
      <c r="K188" s="8" t="n">
        <v>8.5</v>
      </c>
      <c r="L188" s="8" t="n">
        <v>4</v>
      </c>
      <c r="M188" s="8" t="n">
        <v>4</v>
      </c>
      <c r="N188" s="8" t="n">
        <v>7</v>
      </c>
      <c r="O188" s="8" t="n">
        <v>8</v>
      </c>
      <c r="P188" s="8" t="n">
        <v>3</v>
      </c>
      <c r="Q188" s="14" t="n">
        <v>200</v>
      </c>
      <c r="R188" s="8" t="n">
        <v>5</v>
      </c>
      <c r="S188" s="8" t="n">
        <v>5</v>
      </c>
      <c r="T188" s="9" t="s">
        <v>814</v>
      </c>
      <c r="U188" s="8" t="s">
        <v>815</v>
      </c>
      <c r="V188" s="8" t="n">
        <v>9</v>
      </c>
      <c r="W188" s="8" t="n">
        <v>6</v>
      </c>
      <c r="X188" s="8" t="n">
        <v>9.5</v>
      </c>
      <c r="Y188" s="26" t="s">
        <v>50</v>
      </c>
      <c r="Z188" s="16" t="s">
        <v>816</v>
      </c>
      <c r="AA188" s="17" t="n">
        <f aca="false">ROUND(K188*0.12 + I188*0.08 + J188*0.07 + L188*0.06 + M188*0.06 + N188*0.08 + O188*0.06 + R188*0.09 + S188*0.04 + V188*0.13 + W188*0.11 + X188*0.08 + (I188+J188)/2*0.02, 2)</f>
        <v>7.01</v>
      </c>
    </row>
    <row r="189" customFormat="false" ht="15" hidden="false" customHeight="true" outlineLevel="0" collapsed="false">
      <c r="A189" s="18" t="n">
        <v>186</v>
      </c>
      <c r="B189" s="19" t="s">
        <v>798</v>
      </c>
      <c r="C189" s="19" t="s">
        <v>810</v>
      </c>
      <c r="D189" s="19" t="s">
        <v>817</v>
      </c>
      <c r="E189" s="20" t="s">
        <v>818</v>
      </c>
      <c r="F189" s="21" t="s">
        <v>819</v>
      </c>
      <c r="G189" s="19" t="s">
        <v>64</v>
      </c>
      <c r="H189" s="33" t="s">
        <v>401</v>
      </c>
      <c r="I189" s="32" t="n">
        <v>7</v>
      </c>
      <c r="J189" s="30" t="n">
        <v>7.5</v>
      </c>
      <c r="K189" s="18" t="n">
        <v>9.2</v>
      </c>
      <c r="L189" s="18" t="n">
        <v>3</v>
      </c>
      <c r="M189" s="18" t="n">
        <v>2</v>
      </c>
      <c r="N189" s="18" t="n">
        <v>8</v>
      </c>
      <c r="O189" s="18" t="n">
        <v>9</v>
      </c>
      <c r="P189" s="18" t="n">
        <v>8</v>
      </c>
      <c r="Q189" s="22" t="n">
        <v>200</v>
      </c>
      <c r="R189" s="18" t="n">
        <v>4</v>
      </c>
      <c r="S189" s="18" t="n">
        <v>4</v>
      </c>
      <c r="T189" s="19" t="s">
        <v>814</v>
      </c>
      <c r="U189" s="18" t="s">
        <v>815</v>
      </c>
      <c r="V189" s="18" t="n">
        <v>10</v>
      </c>
      <c r="W189" s="18" t="n">
        <v>5.5</v>
      </c>
      <c r="X189" s="18" t="n">
        <v>10</v>
      </c>
      <c r="Y189" s="23" t="s">
        <v>820</v>
      </c>
      <c r="Z189" s="24" t="s">
        <v>821</v>
      </c>
      <c r="AA189" s="25" t="n">
        <f aca="false">ROUND(K189*0.12 + I189*0.08 + J189*0.07 + L189*0.06 + M189*0.06 + N189*0.08 + O189*0.06 + R189*0.09 + S189*0.04 + V189*0.13 + W189*0.11 + X189*0.08 + (I189+J189)/2*0.02, 2)</f>
        <v>7.04</v>
      </c>
    </row>
  </sheetData>
  <mergeCells count="2">
    <mergeCell ref="A1:AA1"/>
    <mergeCell ref="A2:AA2"/>
  </mergeCells>
  <conditionalFormatting sqref="I4:I189">
    <cfRule type="cellIs" priority="2" operator="greaterThanOrEqual" aboveAverage="0" equalAverage="0" bottom="0" percent="0" rank="0" text="" dxfId="0">
      <formula>9</formula>
    </cfRule>
    <cfRule type="cellIs" priority="3" operator="lessThan" aboveAverage="0" equalAverage="0" bottom="0" percent="0" rank="0" text="" dxfId="1">
      <formula>5.5</formula>
    </cfRule>
  </conditionalFormatting>
  <conditionalFormatting sqref="J4:J189">
    <cfRule type="cellIs" priority="4" operator="greaterThanOrEqual" aboveAverage="0" equalAverage="0" bottom="0" percent="0" rank="0" text="" dxfId="0">
      <formula>9</formula>
    </cfRule>
    <cfRule type="cellIs" priority="5" operator="lessThan" aboveAverage="0" equalAverage="0" bottom="0" percent="0" rank="0" text="" dxfId="1">
      <formula>5.5</formula>
    </cfRule>
  </conditionalFormatting>
  <conditionalFormatting sqref="K4:K189">
    <cfRule type="cellIs" priority="6" operator="greaterThanOrEqual" aboveAverage="0" equalAverage="0" bottom="0" percent="0" rank="0" text="" dxfId="0">
      <formula>9</formula>
    </cfRule>
    <cfRule type="cellIs" priority="7" operator="lessThan" aboveAverage="0" equalAverage="0" bottom="0" percent="0" rank="0" text="" dxfId="1">
      <formula>5.5</formula>
    </cfRule>
  </conditionalFormatting>
  <conditionalFormatting sqref="L4:L189">
    <cfRule type="cellIs" priority="8" operator="greaterThanOrEqual" aboveAverage="0" equalAverage="0" bottom="0" percent="0" rank="0" text="" dxfId="0">
      <formula>9</formula>
    </cfRule>
    <cfRule type="cellIs" priority="9" operator="lessThan" aboveAverage="0" equalAverage="0" bottom="0" percent="0" rank="0" text="" dxfId="1">
      <formula>5.5</formula>
    </cfRule>
  </conditionalFormatting>
  <conditionalFormatting sqref="M4:M189">
    <cfRule type="cellIs" priority="10" operator="greaterThanOrEqual" aboveAverage="0" equalAverage="0" bottom="0" percent="0" rank="0" text="" dxfId="0">
      <formula>9</formula>
    </cfRule>
    <cfRule type="cellIs" priority="11" operator="lessThan" aboveAverage="0" equalAverage="0" bottom="0" percent="0" rank="0" text="" dxfId="1">
      <formula>5.5</formula>
    </cfRule>
  </conditionalFormatting>
  <conditionalFormatting sqref="N4:N189">
    <cfRule type="cellIs" priority="12" operator="greaterThanOrEqual" aboveAverage="0" equalAverage="0" bottom="0" percent="0" rank="0" text="" dxfId="0">
      <formula>9</formula>
    </cfRule>
    <cfRule type="cellIs" priority="13" operator="lessThan" aboveAverage="0" equalAverage="0" bottom="0" percent="0" rank="0" text="" dxfId="1">
      <formula>5.5</formula>
    </cfRule>
  </conditionalFormatting>
  <conditionalFormatting sqref="O4:O189">
    <cfRule type="cellIs" priority="14" operator="greaterThanOrEqual" aboveAverage="0" equalAverage="0" bottom="0" percent="0" rank="0" text="" dxfId="0">
      <formula>9</formula>
    </cfRule>
    <cfRule type="cellIs" priority="15" operator="lessThan" aboveAverage="0" equalAverage="0" bottom="0" percent="0" rank="0" text="" dxfId="1">
      <formula>5.5</formula>
    </cfRule>
  </conditionalFormatting>
  <conditionalFormatting sqref="R4:R189">
    <cfRule type="cellIs" priority="16" operator="greaterThanOrEqual" aboveAverage="0" equalAverage="0" bottom="0" percent="0" rank="0" text="" dxfId="0">
      <formula>9</formula>
    </cfRule>
    <cfRule type="cellIs" priority="17" operator="lessThan" aboveAverage="0" equalAverage="0" bottom="0" percent="0" rank="0" text="" dxfId="1">
      <formula>5.5</formula>
    </cfRule>
  </conditionalFormatting>
  <conditionalFormatting sqref="S4:S189">
    <cfRule type="cellIs" priority="18" operator="greaterThanOrEqual" aboveAverage="0" equalAverage="0" bottom="0" percent="0" rank="0" text="" dxfId="0">
      <formula>9</formula>
    </cfRule>
    <cfRule type="cellIs" priority="19" operator="lessThan" aboveAverage="0" equalAverage="0" bottom="0" percent="0" rank="0" text="" dxfId="1">
      <formula>5.5</formula>
    </cfRule>
  </conditionalFormatting>
  <conditionalFormatting sqref="V4:V189">
    <cfRule type="cellIs" priority="20" operator="greaterThanOrEqual" aboveAverage="0" equalAverage="0" bottom="0" percent="0" rank="0" text="" dxfId="0">
      <formula>9</formula>
    </cfRule>
    <cfRule type="cellIs" priority="21" operator="lessThan" aboveAverage="0" equalAverage="0" bottom="0" percent="0" rank="0" text="" dxfId="1">
      <formula>5.5</formula>
    </cfRule>
  </conditionalFormatting>
  <conditionalFormatting sqref="W4:W189">
    <cfRule type="cellIs" priority="22" operator="greaterThanOrEqual" aboveAverage="0" equalAverage="0" bottom="0" percent="0" rank="0" text="" dxfId="0">
      <formula>9</formula>
    </cfRule>
    <cfRule type="cellIs" priority="23" operator="lessThan" aboveAverage="0" equalAverage="0" bottom="0" percent="0" rank="0" text="" dxfId="1">
      <formula>5.5</formula>
    </cfRule>
  </conditionalFormatting>
  <conditionalFormatting sqref="X4:X189">
    <cfRule type="cellIs" priority="24" operator="greaterThanOrEqual" aboveAverage="0" equalAverage="0" bottom="0" percent="0" rank="0" text="" dxfId="0">
      <formula>9</formula>
    </cfRule>
    <cfRule type="cellIs" priority="25" operator="lessThan" aboveAverage="0" equalAverage="0" bottom="0" percent="0" rank="0" text="" dxfId="1">
      <formula>5.5</formula>
    </cfRule>
  </conditionalFormatting>
  <conditionalFormatting sqref="Y4:Y189">
    <cfRule type="cellIs" priority="26" operator="greaterThanOrEqual" aboveAverage="0" equalAverage="0" bottom="0" percent="0" rank="0" text="" dxfId="0">
      <formula>9</formula>
    </cfRule>
    <cfRule type="cellIs" priority="27" operator="lessThan" aboveAverage="0" equalAverage="0" bottom="0" percent="0" rank="0" text="" dxfId="1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0"/>
  </cols>
  <sheetData>
    <row r="1" customFormat="false" ht="34.5" hidden="false" customHeight="true" outlineLevel="0" collapsed="false">
      <c r="A1" s="35" t="s">
        <v>822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29.25" hidden="false" customHeight="true" outlineLevel="0" collapsed="false">
      <c r="A2" s="4" t="s">
        <v>3</v>
      </c>
      <c r="B2" s="4" t="s">
        <v>4</v>
      </c>
      <c r="C2" s="4" t="s">
        <v>823</v>
      </c>
      <c r="D2" s="4" t="s">
        <v>824</v>
      </c>
      <c r="E2" s="5" t="s">
        <v>825</v>
      </c>
      <c r="F2" s="5" t="s">
        <v>826</v>
      </c>
      <c r="G2" s="4" t="s">
        <v>827</v>
      </c>
      <c r="H2" s="4" t="s">
        <v>828</v>
      </c>
      <c r="I2" s="4" t="s">
        <v>829</v>
      </c>
      <c r="J2" s="4" t="s">
        <v>830</v>
      </c>
    </row>
    <row r="3" customFormat="false" ht="15" hidden="false" customHeight="true" outlineLevel="0" collapsed="false">
      <c r="A3" s="36" t="s">
        <v>29</v>
      </c>
      <c r="B3" s="37" t="s">
        <v>30</v>
      </c>
      <c r="C3" s="36" t="n">
        <v>20</v>
      </c>
      <c r="D3" s="38" t="s">
        <v>35</v>
      </c>
      <c r="E3" s="39" t="n">
        <v>9.5</v>
      </c>
      <c r="F3" s="39" t="n">
        <v>9.5</v>
      </c>
      <c r="G3" s="36" t="n">
        <v>9</v>
      </c>
      <c r="H3" s="36" t="n">
        <v>9</v>
      </c>
      <c r="I3" s="36" t="n">
        <v>7.5</v>
      </c>
      <c r="J3" s="37" t="n">
        <v>8.21</v>
      </c>
    </row>
    <row r="4" customFormat="false" ht="15" hidden="false" customHeight="true" outlineLevel="0" collapsed="false">
      <c r="A4" s="40" t="s">
        <v>29</v>
      </c>
      <c r="B4" s="41" t="s">
        <v>148</v>
      </c>
      <c r="C4" s="40" t="n">
        <v>12</v>
      </c>
      <c r="D4" s="42" t="s">
        <v>35</v>
      </c>
      <c r="E4" s="39" t="n">
        <v>9</v>
      </c>
      <c r="F4" s="43" t="n">
        <v>8.5</v>
      </c>
      <c r="G4" s="40" t="n">
        <v>8.5</v>
      </c>
      <c r="H4" s="40" t="n">
        <v>8.2</v>
      </c>
      <c r="I4" s="40" t="n">
        <v>8.3</v>
      </c>
      <c r="J4" s="41" t="n">
        <v>7.94</v>
      </c>
    </row>
    <row r="5" customFormat="false" ht="15" hidden="false" customHeight="true" outlineLevel="0" collapsed="false">
      <c r="A5" s="36" t="s">
        <v>197</v>
      </c>
      <c r="B5" s="37" t="s">
        <v>198</v>
      </c>
      <c r="C5" s="36" t="n">
        <v>12</v>
      </c>
      <c r="D5" s="38" t="s">
        <v>202</v>
      </c>
      <c r="E5" s="43" t="n">
        <v>7.5</v>
      </c>
      <c r="F5" s="43" t="n">
        <v>7.5</v>
      </c>
      <c r="G5" s="36" t="n">
        <v>8.7</v>
      </c>
      <c r="H5" s="36" t="n">
        <v>8.2</v>
      </c>
      <c r="I5" s="36" t="n">
        <v>8.5</v>
      </c>
      <c r="J5" s="37" t="n">
        <v>7.67</v>
      </c>
    </row>
    <row r="6" customFormat="false" ht="15" hidden="false" customHeight="true" outlineLevel="0" collapsed="false">
      <c r="A6" s="40" t="s">
        <v>418</v>
      </c>
      <c r="B6" s="41" t="s">
        <v>419</v>
      </c>
      <c r="C6" s="40" t="n">
        <v>12</v>
      </c>
      <c r="D6" s="42" t="s">
        <v>423</v>
      </c>
      <c r="E6" s="43" t="n">
        <v>8.5</v>
      </c>
      <c r="F6" s="43" t="n">
        <v>7.5</v>
      </c>
      <c r="G6" s="40" t="n">
        <v>9</v>
      </c>
      <c r="H6" s="40" t="n">
        <v>8.8</v>
      </c>
      <c r="I6" s="40" t="n">
        <v>7.4</v>
      </c>
      <c r="J6" s="41" t="n">
        <v>7.64</v>
      </c>
    </row>
    <row r="7" customFormat="false" ht="15" hidden="false" customHeight="true" outlineLevel="0" collapsed="false">
      <c r="A7" s="36" t="s">
        <v>197</v>
      </c>
      <c r="B7" s="37" t="s">
        <v>268</v>
      </c>
      <c r="C7" s="36" t="n">
        <v>8</v>
      </c>
      <c r="D7" s="38" t="s">
        <v>202</v>
      </c>
      <c r="E7" s="43" t="n">
        <v>7.5</v>
      </c>
      <c r="F7" s="43" t="n">
        <v>8</v>
      </c>
      <c r="G7" s="36" t="n">
        <v>8.6</v>
      </c>
      <c r="H7" s="36" t="n">
        <v>8.2</v>
      </c>
      <c r="I7" s="36" t="n">
        <v>8.3</v>
      </c>
      <c r="J7" s="37" t="n">
        <v>7.64</v>
      </c>
    </row>
    <row r="8" customFormat="false" ht="15" hidden="false" customHeight="true" outlineLevel="0" collapsed="false">
      <c r="A8" s="40" t="s">
        <v>197</v>
      </c>
      <c r="B8" s="41" t="s">
        <v>302</v>
      </c>
      <c r="C8" s="40" t="n">
        <v>8</v>
      </c>
      <c r="D8" s="42" t="s">
        <v>307</v>
      </c>
      <c r="E8" s="43" t="n">
        <v>7.5</v>
      </c>
      <c r="F8" s="44" t="n">
        <v>7</v>
      </c>
      <c r="G8" s="40" t="n">
        <v>8.8</v>
      </c>
      <c r="H8" s="40" t="n">
        <v>8.5</v>
      </c>
      <c r="I8" s="40" t="n">
        <v>8.8</v>
      </c>
      <c r="J8" s="41" t="n">
        <v>7.56</v>
      </c>
    </row>
    <row r="9" customFormat="false" ht="15" hidden="false" customHeight="true" outlineLevel="0" collapsed="false">
      <c r="A9" s="36" t="s">
        <v>418</v>
      </c>
      <c r="B9" s="37" t="s">
        <v>470</v>
      </c>
      <c r="C9" s="36" t="n">
        <v>8</v>
      </c>
      <c r="D9" s="38" t="s">
        <v>474</v>
      </c>
      <c r="E9" s="39" t="n">
        <v>9</v>
      </c>
      <c r="F9" s="43" t="n">
        <v>8.5</v>
      </c>
      <c r="G9" s="36" t="n">
        <v>9</v>
      </c>
      <c r="H9" s="36" t="n">
        <v>8.8</v>
      </c>
      <c r="I9" s="36" t="n">
        <v>7.6</v>
      </c>
      <c r="J9" s="37" t="n">
        <v>7.69</v>
      </c>
    </row>
    <row r="10" customFormat="false" ht="15" hidden="false" customHeight="true" outlineLevel="0" collapsed="false">
      <c r="A10" s="40" t="s">
        <v>504</v>
      </c>
      <c r="B10" s="41" t="s">
        <v>524</v>
      </c>
      <c r="C10" s="40" t="n">
        <v>8</v>
      </c>
      <c r="D10" s="42" t="s">
        <v>528</v>
      </c>
      <c r="E10" s="44" t="n">
        <v>7.2</v>
      </c>
      <c r="F10" s="43" t="n">
        <v>7.6</v>
      </c>
      <c r="G10" s="40" t="n">
        <v>9</v>
      </c>
      <c r="H10" s="40" t="n">
        <v>9.1</v>
      </c>
      <c r="I10" s="40" t="n">
        <v>8.4</v>
      </c>
      <c r="J10" s="41" t="n">
        <v>7.78</v>
      </c>
    </row>
    <row r="11" customFormat="false" ht="15" hidden="false" customHeight="true" outlineLevel="0" collapsed="false">
      <c r="A11" s="36" t="s">
        <v>648</v>
      </c>
      <c r="B11" s="37" t="s">
        <v>711</v>
      </c>
      <c r="C11" s="36" t="n">
        <v>7</v>
      </c>
      <c r="D11" s="38" t="s">
        <v>715</v>
      </c>
      <c r="E11" s="44" t="n">
        <v>7.2</v>
      </c>
      <c r="F11" s="44" t="n">
        <v>6.9</v>
      </c>
      <c r="G11" s="36" t="n">
        <v>9.2</v>
      </c>
      <c r="H11" s="36" t="n">
        <v>9.4</v>
      </c>
      <c r="I11" s="36" t="n">
        <v>7.9</v>
      </c>
      <c r="J11" s="37" t="n">
        <v>7.74</v>
      </c>
    </row>
    <row r="12" customFormat="false" ht="15" hidden="false" customHeight="true" outlineLevel="0" collapsed="false">
      <c r="A12" s="40" t="s">
        <v>197</v>
      </c>
      <c r="B12" s="41" t="s">
        <v>336</v>
      </c>
      <c r="C12" s="40" t="n">
        <v>6</v>
      </c>
      <c r="D12" s="42" t="s">
        <v>35</v>
      </c>
      <c r="E12" s="43" t="n">
        <v>7.5</v>
      </c>
      <c r="F12" s="44" t="n">
        <v>7.3</v>
      </c>
      <c r="G12" s="40" t="n">
        <v>9</v>
      </c>
      <c r="H12" s="40" t="n">
        <v>9.2</v>
      </c>
      <c r="I12" s="40" t="n">
        <v>8.2</v>
      </c>
      <c r="J12" s="41" t="n">
        <v>7.45</v>
      </c>
    </row>
    <row r="13" customFormat="false" ht="15" hidden="false" customHeight="true" outlineLevel="0" collapsed="false">
      <c r="A13" s="36" t="s">
        <v>197</v>
      </c>
      <c r="B13" s="37" t="s">
        <v>244</v>
      </c>
      <c r="C13" s="36" t="n">
        <v>5</v>
      </c>
      <c r="D13" s="38" t="s">
        <v>202</v>
      </c>
      <c r="E13" s="39" t="n">
        <v>9.8</v>
      </c>
      <c r="F13" s="39" t="n">
        <v>9.5</v>
      </c>
      <c r="G13" s="36" t="n">
        <v>9</v>
      </c>
      <c r="H13" s="36" t="n">
        <v>8</v>
      </c>
      <c r="I13" s="36" t="n">
        <v>7.4</v>
      </c>
      <c r="J13" s="37" t="n">
        <v>8.67</v>
      </c>
    </row>
    <row r="14" customFormat="false" ht="15" hidden="false" customHeight="true" outlineLevel="0" collapsed="false">
      <c r="A14" s="40" t="s">
        <v>197</v>
      </c>
      <c r="B14" s="41" t="s">
        <v>362</v>
      </c>
      <c r="C14" s="40" t="n">
        <v>5</v>
      </c>
      <c r="D14" s="42" t="s">
        <v>366</v>
      </c>
      <c r="E14" s="44" t="n">
        <v>6.7</v>
      </c>
      <c r="F14" s="44" t="n">
        <v>6.3</v>
      </c>
      <c r="G14" s="40" t="n">
        <v>8.6</v>
      </c>
      <c r="H14" s="40" t="n">
        <v>8.1</v>
      </c>
      <c r="I14" s="40" t="n">
        <v>8.3</v>
      </c>
      <c r="J14" s="41" t="n">
        <v>7.06</v>
      </c>
    </row>
    <row r="15" customFormat="false" ht="15" hidden="false" customHeight="true" outlineLevel="0" collapsed="false">
      <c r="A15" s="36" t="s">
        <v>504</v>
      </c>
      <c r="B15" s="37" t="s">
        <v>505</v>
      </c>
      <c r="C15" s="36" t="n">
        <v>5</v>
      </c>
      <c r="D15" s="38" t="s">
        <v>202</v>
      </c>
      <c r="E15" s="39" t="n">
        <v>9.5</v>
      </c>
      <c r="F15" s="39" t="n">
        <v>9</v>
      </c>
      <c r="G15" s="36" t="n">
        <v>9.1</v>
      </c>
      <c r="H15" s="36" t="n">
        <v>8.6</v>
      </c>
      <c r="I15" s="36" t="n">
        <v>6.9</v>
      </c>
      <c r="J15" s="37" t="n">
        <v>8.38</v>
      </c>
    </row>
    <row r="16" customFormat="false" ht="15" hidden="false" customHeight="true" outlineLevel="0" collapsed="false">
      <c r="A16" s="40" t="s">
        <v>604</v>
      </c>
      <c r="B16" s="41" t="s">
        <v>621</v>
      </c>
      <c r="C16" s="40" t="n">
        <v>5</v>
      </c>
      <c r="D16" s="42" t="s">
        <v>35</v>
      </c>
      <c r="E16" s="43" t="n">
        <v>8</v>
      </c>
      <c r="F16" s="43" t="n">
        <v>8</v>
      </c>
      <c r="G16" s="40" t="n">
        <v>8.8</v>
      </c>
      <c r="H16" s="40" t="n">
        <v>9</v>
      </c>
      <c r="I16" s="40" t="n">
        <v>9.4</v>
      </c>
      <c r="J16" s="41" t="n">
        <v>7.35</v>
      </c>
    </row>
    <row r="17" customFormat="false" ht="15" hidden="false" customHeight="true" outlineLevel="0" collapsed="false">
      <c r="A17" s="36" t="s">
        <v>504</v>
      </c>
      <c r="B17" s="37" t="s">
        <v>580</v>
      </c>
      <c r="C17" s="36" t="n">
        <v>4</v>
      </c>
      <c r="D17" s="38" t="s">
        <v>202</v>
      </c>
      <c r="E17" s="43" t="n">
        <v>8.5</v>
      </c>
      <c r="F17" s="43" t="n">
        <v>8.5</v>
      </c>
      <c r="G17" s="36" t="n">
        <v>8.8</v>
      </c>
      <c r="H17" s="36" t="n">
        <v>8.5</v>
      </c>
      <c r="I17" s="36" t="n">
        <v>9.6</v>
      </c>
      <c r="J17" s="37" t="n">
        <v>7.55</v>
      </c>
    </row>
    <row r="18" customFormat="false" ht="15" hidden="false" customHeight="true" outlineLevel="0" collapsed="false">
      <c r="A18" s="40" t="s">
        <v>604</v>
      </c>
      <c r="B18" s="41" t="s">
        <v>605</v>
      </c>
      <c r="C18" s="40" t="n">
        <v>4</v>
      </c>
      <c r="D18" s="42" t="s">
        <v>202</v>
      </c>
      <c r="E18" s="43" t="n">
        <v>7.5</v>
      </c>
      <c r="F18" s="43" t="n">
        <v>7.5</v>
      </c>
      <c r="G18" s="40" t="n">
        <v>8.6</v>
      </c>
      <c r="H18" s="40" t="n">
        <v>8.4</v>
      </c>
      <c r="I18" s="40" t="n">
        <v>8.2</v>
      </c>
      <c r="J18" s="41" t="n">
        <v>7.03</v>
      </c>
    </row>
    <row r="19" customFormat="false" ht="15" hidden="false" customHeight="true" outlineLevel="0" collapsed="false">
      <c r="A19" s="36" t="s">
        <v>197</v>
      </c>
      <c r="B19" s="37" t="s">
        <v>385</v>
      </c>
      <c r="C19" s="36" t="n">
        <v>3</v>
      </c>
      <c r="D19" s="38" t="s">
        <v>389</v>
      </c>
      <c r="E19" s="44" t="n">
        <v>6.5</v>
      </c>
      <c r="F19" s="44" t="n">
        <v>6.5</v>
      </c>
      <c r="G19" s="36" t="n">
        <v>8.5</v>
      </c>
      <c r="H19" s="36" t="n">
        <v>8.2</v>
      </c>
      <c r="I19" s="36" t="n">
        <v>8.7</v>
      </c>
      <c r="J19" s="37" t="n">
        <v>7.11</v>
      </c>
    </row>
    <row r="20" customFormat="false" ht="15" hidden="false" customHeight="true" outlineLevel="0" collapsed="false">
      <c r="A20" s="40" t="s">
        <v>504</v>
      </c>
      <c r="B20" s="41" t="s">
        <v>554</v>
      </c>
      <c r="C20" s="40" t="n">
        <v>3</v>
      </c>
      <c r="D20" s="42" t="s">
        <v>35</v>
      </c>
      <c r="E20" s="43" t="n">
        <v>8</v>
      </c>
      <c r="F20" s="43" t="n">
        <v>7.5</v>
      </c>
      <c r="G20" s="40" t="n">
        <v>8.6</v>
      </c>
      <c r="H20" s="40" t="n">
        <v>8.8</v>
      </c>
      <c r="I20" s="40" t="n">
        <v>7.3</v>
      </c>
      <c r="J20" s="41" t="n">
        <v>7.36</v>
      </c>
    </row>
    <row r="21" customFormat="false" ht="15" hidden="false" customHeight="true" outlineLevel="0" collapsed="false">
      <c r="A21" s="36" t="s">
        <v>604</v>
      </c>
      <c r="B21" s="37" t="s">
        <v>637</v>
      </c>
      <c r="C21" s="36" t="n">
        <v>3</v>
      </c>
      <c r="D21" s="38" t="s">
        <v>307</v>
      </c>
      <c r="E21" s="44" t="n">
        <v>7</v>
      </c>
      <c r="F21" s="44" t="n">
        <v>6.5</v>
      </c>
      <c r="G21" s="36" t="n">
        <v>8.8</v>
      </c>
      <c r="H21" s="36" t="n">
        <v>8.7</v>
      </c>
      <c r="I21" s="36" t="n">
        <v>9.7</v>
      </c>
      <c r="J21" s="37" t="n">
        <v>6.67</v>
      </c>
    </row>
    <row r="22" customFormat="false" ht="15" hidden="false" customHeight="true" outlineLevel="0" collapsed="false">
      <c r="A22" s="40" t="s">
        <v>648</v>
      </c>
      <c r="B22" s="41" t="s">
        <v>649</v>
      </c>
      <c r="C22" s="40" t="n">
        <v>3</v>
      </c>
      <c r="D22" s="42" t="s">
        <v>202</v>
      </c>
      <c r="E22" s="43" t="n">
        <v>8.5</v>
      </c>
      <c r="F22" s="43" t="n">
        <v>8.5</v>
      </c>
      <c r="G22" s="40" t="n">
        <v>8.4</v>
      </c>
      <c r="H22" s="40" t="n">
        <v>8.2</v>
      </c>
      <c r="I22" s="40" t="n">
        <v>9</v>
      </c>
      <c r="J22" s="41" t="n">
        <v>7.61</v>
      </c>
    </row>
    <row r="23" customFormat="false" ht="15" hidden="false" customHeight="true" outlineLevel="0" collapsed="false">
      <c r="A23" s="36" t="s">
        <v>648</v>
      </c>
      <c r="B23" s="37" t="s">
        <v>661</v>
      </c>
      <c r="C23" s="36" t="n">
        <v>3</v>
      </c>
      <c r="D23" s="38" t="s">
        <v>202</v>
      </c>
      <c r="E23" s="43" t="n">
        <v>8</v>
      </c>
      <c r="F23" s="43" t="n">
        <v>8</v>
      </c>
      <c r="G23" s="36" t="n">
        <v>8.7</v>
      </c>
      <c r="H23" s="36" t="n">
        <v>8.7</v>
      </c>
      <c r="I23" s="36" t="n">
        <v>9.5</v>
      </c>
      <c r="J23" s="37" t="n">
        <v>7.47</v>
      </c>
    </row>
    <row r="24" customFormat="false" ht="15" hidden="false" customHeight="true" outlineLevel="0" collapsed="false">
      <c r="A24" s="40" t="s">
        <v>648</v>
      </c>
      <c r="B24" s="41" t="s">
        <v>672</v>
      </c>
      <c r="C24" s="40" t="n">
        <v>3</v>
      </c>
      <c r="D24" s="42" t="s">
        <v>35</v>
      </c>
      <c r="E24" s="43" t="n">
        <v>8.5</v>
      </c>
      <c r="F24" s="43" t="n">
        <v>8.5</v>
      </c>
      <c r="G24" s="40" t="n">
        <v>8.9</v>
      </c>
      <c r="H24" s="40" t="n">
        <v>8.8</v>
      </c>
      <c r="I24" s="40" t="n">
        <v>8.3</v>
      </c>
      <c r="J24" s="41" t="n">
        <v>7.6</v>
      </c>
    </row>
    <row r="25" customFormat="false" ht="15" hidden="false" customHeight="true" outlineLevel="0" collapsed="false">
      <c r="A25" s="36" t="s">
        <v>648</v>
      </c>
      <c r="B25" s="37" t="s">
        <v>693</v>
      </c>
      <c r="C25" s="36" t="n">
        <v>3</v>
      </c>
      <c r="D25" s="38" t="s">
        <v>202</v>
      </c>
      <c r="E25" s="43" t="n">
        <v>7.5</v>
      </c>
      <c r="F25" s="43" t="n">
        <v>7.5</v>
      </c>
      <c r="G25" s="36" t="n">
        <v>8.7</v>
      </c>
      <c r="H25" s="36" t="n">
        <v>9.2</v>
      </c>
      <c r="I25" s="36" t="n">
        <v>9.5</v>
      </c>
      <c r="J25" s="37" t="n">
        <v>7.24</v>
      </c>
    </row>
    <row r="26" customFormat="false" ht="15" hidden="false" customHeight="true" outlineLevel="0" collapsed="false">
      <c r="A26" s="40" t="s">
        <v>648</v>
      </c>
      <c r="B26" s="41" t="s">
        <v>742</v>
      </c>
      <c r="C26" s="40" t="n">
        <v>3</v>
      </c>
      <c r="D26" s="42" t="s">
        <v>35</v>
      </c>
      <c r="E26" s="43" t="n">
        <v>8.5</v>
      </c>
      <c r="F26" s="43" t="n">
        <v>8</v>
      </c>
      <c r="G26" s="40" t="n">
        <v>9.3</v>
      </c>
      <c r="H26" s="40" t="n">
        <v>9.7</v>
      </c>
      <c r="I26" s="40" t="n">
        <v>7.7</v>
      </c>
      <c r="J26" s="41" t="n">
        <v>7.89</v>
      </c>
    </row>
    <row r="27" customFormat="false" ht="15" hidden="false" customHeight="true" outlineLevel="0" collapsed="false">
      <c r="A27" s="36" t="s">
        <v>648</v>
      </c>
      <c r="B27" s="37" t="s">
        <v>754</v>
      </c>
      <c r="C27" s="36" t="n">
        <v>3</v>
      </c>
      <c r="D27" s="38" t="s">
        <v>35</v>
      </c>
      <c r="E27" s="43" t="n">
        <v>8</v>
      </c>
      <c r="F27" s="43" t="n">
        <v>7.5</v>
      </c>
      <c r="G27" s="36" t="n">
        <v>9.2</v>
      </c>
      <c r="H27" s="36" t="n">
        <v>8.7</v>
      </c>
      <c r="I27" s="36" t="n">
        <v>8.2</v>
      </c>
      <c r="J27" s="37" t="n">
        <v>8.27</v>
      </c>
    </row>
    <row r="28" customFormat="false" ht="15" hidden="false" customHeight="true" outlineLevel="0" collapsed="false">
      <c r="A28" s="40" t="s">
        <v>648</v>
      </c>
      <c r="B28" s="41" t="s">
        <v>779</v>
      </c>
      <c r="C28" s="40" t="n">
        <v>3</v>
      </c>
      <c r="D28" s="42" t="s">
        <v>35</v>
      </c>
      <c r="E28" s="43" t="n">
        <v>8.5</v>
      </c>
      <c r="F28" s="43" t="n">
        <v>8</v>
      </c>
      <c r="G28" s="40" t="n">
        <v>8.9</v>
      </c>
      <c r="H28" s="40" t="n">
        <v>9.3</v>
      </c>
      <c r="I28" s="40" t="n">
        <v>9</v>
      </c>
      <c r="J28" s="41" t="n">
        <v>8.02</v>
      </c>
    </row>
    <row r="29" customFormat="false" ht="15" hidden="false" customHeight="true" outlineLevel="0" collapsed="false">
      <c r="A29" s="36" t="s">
        <v>197</v>
      </c>
      <c r="B29" s="37" t="s">
        <v>397</v>
      </c>
      <c r="C29" s="36" t="n">
        <v>2</v>
      </c>
      <c r="D29" s="38" t="s">
        <v>401</v>
      </c>
      <c r="E29" s="43" t="n">
        <v>7.5</v>
      </c>
      <c r="F29" s="43" t="n">
        <v>7.5</v>
      </c>
      <c r="G29" s="36" t="n">
        <v>8.4</v>
      </c>
      <c r="H29" s="36" t="n">
        <v>8.5</v>
      </c>
      <c r="I29" s="36" t="n">
        <v>9.2</v>
      </c>
      <c r="J29" s="37" t="n">
        <v>7.25</v>
      </c>
    </row>
    <row r="30" customFormat="false" ht="15" hidden="false" customHeight="true" outlineLevel="0" collapsed="false">
      <c r="A30" s="40" t="s">
        <v>197</v>
      </c>
      <c r="B30" s="41" t="s">
        <v>405</v>
      </c>
      <c r="C30" s="40" t="n">
        <v>2</v>
      </c>
      <c r="D30" s="42" t="s">
        <v>307</v>
      </c>
      <c r="E30" s="45" t="n">
        <v>5.5</v>
      </c>
      <c r="F30" s="45" t="n">
        <v>5</v>
      </c>
      <c r="G30" s="40" t="n">
        <v>9.1</v>
      </c>
      <c r="H30" s="40" t="n">
        <v>9.8</v>
      </c>
      <c r="I30" s="40" t="n">
        <v>9.5</v>
      </c>
      <c r="J30" s="41" t="n">
        <v>7.1</v>
      </c>
    </row>
    <row r="31" customFormat="false" ht="15" hidden="false" customHeight="true" outlineLevel="0" collapsed="false">
      <c r="A31" s="36" t="s">
        <v>504</v>
      </c>
      <c r="B31" s="37" t="s">
        <v>564</v>
      </c>
      <c r="C31" s="36" t="n">
        <v>2</v>
      </c>
      <c r="D31" s="38" t="s">
        <v>35</v>
      </c>
      <c r="E31" s="39" t="n">
        <v>9</v>
      </c>
      <c r="F31" s="43" t="n">
        <v>8.5</v>
      </c>
      <c r="G31" s="36" t="n">
        <v>8.8</v>
      </c>
      <c r="H31" s="36" t="n">
        <v>8.8</v>
      </c>
      <c r="I31" s="36" t="n">
        <v>7.2</v>
      </c>
      <c r="J31" s="37" t="n">
        <v>7.33</v>
      </c>
    </row>
    <row r="32" customFormat="false" ht="15" hidden="false" customHeight="true" outlineLevel="0" collapsed="false">
      <c r="A32" s="40" t="s">
        <v>504</v>
      </c>
      <c r="B32" s="41" t="s">
        <v>573</v>
      </c>
      <c r="C32" s="40" t="n">
        <v>2</v>
      </c>
      <c r="D32" s="42" t="s">
        <v>202</v>
      </c>
      <c r="E32" s="39" t="n">
        <v>9.5</v>
      </c>
      <c r="F32" s="39" t="n">
        <v>9</v>
      </c>
      <c r="G32" s="40" t="n">
        <v>8.8</v>
      </c>
      <c r="H32" s="40" t="n">
        <v>8.2</v>
      </c>
      <c r="I32" s="40" t="n">
        <v>7</v>
      </c>
      <c r="J32" s="41" t="n">
        <v>8.26</v>
      </c>
    </row>
    <row r="33" customFormat="false" ht="15" hidden="false" customHeight="true" outlineLevel="0" collapsed="false">
      <c r="A33" s="36" t="s">
        <v>504</v>
      </c>
      <c r="B33" s="37" t="s">
        <v>596</v>
      </c>
      <c r="C33" s="36" t="n">
        <v>2</v>
      </c>
      <c r="D33" s="38" t="s">
        <v>202</v>
      </c>
      <c r="E33" s="43" t="n">
        <v>8.5</v>
      </c>
      <c r="F33" s="43" t="n">
        <v>8.5</v>
      </c>
      <c r="G33" s="36" t="n">
        <v>8.7</v>
      </c>
      <c r="H33" s="36" t="n">
        <v>8.8</v>
      </c>
      <c r="I33" s="36" t="n">
        <v>9.5</v>
      </c>
      <c r="J33" s="37" t="n">
        <v>7.66</v>
      </c>
    </row>
    <row r="34" customFormat="false" ht="15" hidden="false" customHeight="true" outlineLevel="0" collapsed="false">
      <c r="A34" s="40" t="s">
        <v>648</v>
      </c>
      <c r="B34" s="41" t="s">
        <v>684</v>
      </c>
      <c r="C34" s="40" t="n">
        <v>2</v>
      </c>
      <c r="D34" s="42" t="s">
        <v>689</v>
      </c>
      <c r="E34" s="43" t="n">
        <v>8</v>
      </c>
      <c r="F34" s="43" t="n">
        <v>7.5</v>
      </c>
      <c r="G34" s="40" t="n">
        <v>8.5</v>
      </c>
      <c r="H34" s="40" t="n">
        <v>8.5</v>
      </c>
      <c r="I34" s="40" t="n">
        <v>9.2</v>
      </c>
      <c r="J34" s="41" t="n">
        <v>7.46</v>
      </c>
    </row>
    <row r="35" customFormat="false" ht="15" hidden="false" customHeight="true" outlineLevel="0" collapsed="false">
      <c r="A35" s="36" t="s">
        <v>648</v>
      </c>
      <c r="B35" s="37" t="s">
        <v>703</v>
      </c>
      <c r="C35" s="36" t="n">
        <v>2</v>
      </c>
      <c r="D35" s="38" t="s">
        <v>202</v>
      </c>
      <c r="E35" s="43" t="n">
        <v>8</v>
      </c>
      <c r="F35" s="43" t="n">
        <v>8</v>
      </c>
      <c r="G35" s="36" t="n">
        <v>8.2</v>
      </c>
      <c r="H35" s="36" t="n">
        <v>8</v>
      </c>
      <c r="I35" s="36" t="n">
        <v>8.8</v>
      </c>
      <c r="J35" s="37" t="n">
        <v>7.24</v>
      </c>
    </row>
    <row r="36" customFormat="false" ht="15" hidden="false" customHeight="true" outlineLevel="0" collapsed="false">
      <c r="A36" s="40" t="s">
        <v>648</v>
      </c>
      <c r="B36" s="41" t="s">
        <v>764</v>
      </c>
      <c r="C36" s="40" t="n">
        <v>2</v>
      </c>
      <c r="D36" s="42" t="s">
        <v>35</v>
      </c>
      <c r="E36" s="43" t="n">
        <v>7.5</v>
      </c>
      <c r="F36" s="43" t="n">
        <v>7.5</v>
      </c>
      <c r="G36" s="40" t="n">
        <v>8.8</v>
      </c>
      <c r="H36" s="40" t="n">
        <v>9</v>
      </c>
      <c r="I36" s="40" t="n">
        <v>9.2</v>
      </c>
      <c r="J36" s="41" t="n">
        <v>7.51</v>
      </c>
    </row>
    <row r="37" customFormat="false" ht="15" hidden="false" customHeight="true" outlineLevel="0" collapsed="false">
      <c r="A37" s="36" t="s">
        <v>648</v>
      </c>
      <c r="B37" s="37" t="s">
        <v>771</v>
      </c>
      <c r="C37" s="36" t="n">
        <v>2</v>
      </c>
      <c r="D37" s="38" t="s">
        <v>35</v>
      </c>
      <c r="E37" s="43" t="n">
        <v>7.5</v>
      </c>
      <c r="F37" s="43" t="n">
        <v>7.5</v>
      </c>
      <c r="G37" s="36" t="n">
        <v>8.5</v>
      </c>
      <c r="H37" s="36" t="n">
        <v>8.5</v>
      </c>
      <c r="I37" s="36" t="n">
        <v>8.8</v>
      </c>
      <c r="J37" s="37" t="n">
        <v>7.4</v>
      </c>
    </row>
    <row r="38" customFormat="false" ht="15" hidden="false" customHeight="true" outlineLevel="0" collapsed="false">
      <c r="A38" s="40" t="s">
        <v>798</v>
      </c>
      <c r="B38" s="41" t="s">
        <v>803</v>
      </c>
      <c r="C38" s="40" t="n">
        <v>2</v>
      </c>
      <c r="D38" s="42" t="s">
        <v>307</v>
      </c>
      <c r="E38" s="44" t="n">
        <v>7</v>
      </c>
      <c r="F38" s="44" t="n">
        <v>7</v>
      </c>
      <c r="G38" s="40" t="n">
        <v>8.8</v>
      </c>
      <c r="H38" s="40" t="n">
        <v>9</v>
      </c>
      <c r="I38" s="40" t="n">
        <v>9</v>
      </c>
      <c r="J38" s="41" t="n">
        <v>7.14</v>
      </c>
    </row>
    <row r="39" customFormat="false" ht="15" hidden="false" customHeight="true" outlineLevel="0" collapsed="false">
      <c r="A39" s="36" t="s">
        <v>798</v>
      </c>
      <c r="B39" s="37" t="s">
        <v>810</v>
      </c>
      <c r="C39" s="36" t="n">
        <v>2</v>
      </c>
      <c r="D39" s="38" t="s">
        <v>401</v>
      </c>
      <c r="E39" s="44" t="n">
        <v>7</v>
      </c>
      <c r="F39" s="43" t="n">
        <v>7.5</v>
      </c>
      <c r="G39" s="36" t="n">
        <v>8.8</v>
      </c>
      <c r="H39" s="36" t="n">
        <v>9.5</v>
      </c>
      <c r="I39" s="36" t="n">
        <v>9.8</v>
      </c>
      <c r="J39" s="37" t="n">
        <v>7.02</v>
      </c>
    </row>
    <row r="40" customFormat="false" ht="15" hidden="false" customHeight="true" outlineLevel="0" collapsed="false">
      <c r="A40" s="40" t="s">
        <v>197</v>
      </c>
      <c r="B40" s="41" t="s">
        <v>413</v>
      </c>
      <c r="C40" s="40" t="n">
        <v>1</v>
      </c>
      <c r="D40" s="42" t="s">
        <v>202</v>
      </c>
      <c r="E40" s="39" t="n">
        <v>9</v>
      </c>
      <c r="F40" s="43" t="n">
        <v>8.5</v>
      </c>
      <c r="G40" s="40" t="n">
        <v>8.3</v>
      </c>
      <c r="H40" s="40" t="n">
        <v>8</v>
      </c>
      <c r="I40" s="40" t="n">
        <v>7</v>
      </c>
      <c r="J40" s="41" t="n">
        <v>7.47</v>
      </c>
    </row>
    <row r="41" customFormat="false" ht="15" hidden="false" customHeight="true" outlineLevel="0" collapsed="false">
      <c r="A41" s="36" t="s">
        <v>648</v>
      </c>
      <c r="B41" s="37" t="s">
        <v>711</v>
      </c>
      <c r="C41" s="36" t="n">
        <v>1</v>
      </c>
      <c r="D41" s="38" t="s">
        <v>738</v>
      </c>
      <c r="E41" s="44" t="n">
        <v>7</v>
      </c>
      <c r="F41" s="44" t="n">
        <v>7</v>
      </c>
      <c r="G41" s="36" t="n">
        <v>8.3</v>
      </c>
      <c r="H41" s="36" t="n">
        <v>7.5</v>
      </c>
      <c r="I41" s="36" t="n">
        <v>8</v>
      </c>
      <c r="J41" s="37" t="n">
        <v>7.22</v>
      </c>
    </row>
    <row r="42" customFormat="false" ht="15" hidden="false" customHeight="true" outlineLevel="0" collapsed="false">
      <c r="A42" s="40" t="s">
        <v>648</v>
      </c>
      <c r="B42" s="41" t="s">
        <v>790</v>
      </c>
      <c r="C42" s="40" t="n">
        <v>1</v>
      </c>
      <c r="D42" s="42" t="s">
        <v>35</v>
      </c>
      <c r="E42" s="39" t="n">
        <v>9</v>
      </c>
      <c r="F42" s="43" t="n">
        <v>8.5</v>
      </c>
      <c r="G42" s="40" t="n">
        <v>9</v>
      </c>
      <c r="H42" s="40" t="n">
        <v>9.5</v>
      </c>
      <c r="I42" s="40" t="n">
        <v>8.5</v>
      </c>
      <c r="J42" s="41" t="n">
        <v>8.37</v>
      </c>
    </row>
    <row r="43" customFormat="false" ht="15" hidden="false" customHeight="true" outlineLevel="0" collapsed="false">
      <c r="A43" s="36" t="s">
        <v>648</v>
      </c>
      <c r="B43" s="37" t="s">
        <v>794</v>
      </c>
      <c r="C43" s="36" t="n">
        <v>1</v>
      </c>
      <c r="D43" s="38" t="s">
        <v>35</v>
      </c>
      <c r="E43" s="43" t="n">
        <v>8.5</v>
      </c>
      <c r="F43" s="43" t="n">
        <v>8</v>
      </c>
      <c r="G43" s="36" t="n">
        <v>8.8</v>
      </c>
      <c r="H43" s="36" t="n">
        <v>9</v>
      </c>
      <c r="I43" s="36" t="n">
        <v>8.5</v>
      </c>
      <c r="J43" s="37" t="n">
        <v>7.94</v>
      </c>
    </row>
    <row r="44" customFormat="false" ht="15" hidden="false" customHeight="true" outlineLevel="0" collapsed="false">
      <c r="A44" s="40" t="s">
        <v>798</v>
      </c>
      <c r="B44" s="41" t="s">
        <v>799</v>
      </c>
      <c r="C44" s="40" t="n">
        <v>1</v>
      </c>
      <c r="D44" s="42" t="s">
        <v>202</v>
      </c>
      <c r="E44" s="43" t="n">
        <v>8.5</v>
      </c>
      <c r="F44" s="43" t="n">
        <v>8.5</v>
      </c>
      <c r="G44" s="40" t="n">
        <v>9.5</v>
      </c>
      <c r="H44" s="40" t="n">
        <v>9</v>
      </c>
      <c r="I44" s="40" t="n">
        <v>5.5</v>
      </c>
      <c r="J44" s="41" t="n">
        <v>7.73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55"/>
    <col collapsed="false" customWidth="true" hidden="false" outlineLevel="0" max="4" min="4" style="1" width="28"/>
  </cols>
  <sheetData>
    <row r="1" customFormat="false" ht="34.5" hidden="false" customHeight="true" outlineLevel="0" collapsed="false">
      <c r="A1" s="35" t="s">
        <v>831</v>
      </c>
      <c r="B1" s="35"/>
      <c r="C1" s="35"/>
      <c r="D1" s="35"/>
    </row>
    <row r="2" customFormat="false" ht="15" hidden="false" customHeight="true" outlineLevel="0" collapsed="false">
      <c r="A2" s="46" t="s">
        <v>832</v>
      </c>
      <c r="B2" s="46" t="s">
        <v>833</v>
      </c>
      <c r="C2" s="46" t="s">
        <v>834</v>
      </c>
      <c r="D2" s="46" t="s">
        <v>835</v>
      </c>
    </row>
    <row r="3" customFormat="false" ht="15" hidden="false" customHeight="true" outlineLevel="0" collapsed="false">
      <c r="A3" s="47" t="s">
        <v>836</v>
      </c>
      <c r="B3" s="36" t="n">
        <v>12</v>
      </c>
      <c r="C3" s="48" t="s">
        <v>837</v>
      </c>
      <c r="D3" s="47" t="s">
        <v>838</v>
      </c>
    </row>
    <row r="4" customFormat="false" ht="29.25" hidden="false" customHeight="true" outlineLevel="0" collapsed="false">
      <c r="A4" s="49" t="s">
        <v>839</v>
      </c>
      <c r="B4" s="50" t="n">
        <v>8</v>
      </c>
      <c r="C4" s="49" t="s">
        <v>840</v>
      </c>
      <c r="D4" s="51" t="s">
        <v>841</v>
      </c>
    </row>
    <row r="5" customFormat="false" ht="29.25" hidden="false" customHeight="true" outlineLevel="0" collapsed="false">
      <c r="A5" s="52" t="s">
        <v>842</v>
      </c>
      <c r="B5" s="53" t="n">
        <v>7</v>
      </c>
      <c r="C5" s="52" t="s">
        <v>843</v>
      </c>
      <c r="D5" s="52" t="s">
        <v>844</v>
      </c>
    </row>
    <row r="6" customFormat="false" ht="15" hidden="false" customHeight="true" outlineLevel="0" collapsed="false">
      <c r="A6" s="54" t="s">
        <v>845</v>
      </c>
      <c r="B6" s="40" t="n">
        <v>2</v>
      </c>
      <c r="C6" s="54" t="s">
        <v>846</v>
      </c>
      <c r="D6" s="54" t="s">
        <v>847</v>
      </c>
    </row>
    <row r="7" customFormat="false" ht="15" hidden="false" customHeight="true" outlineLevel="0" collapsed="false">
      <c r="A7" s="47" t="s">
        <v>848</v>
      </c>
      <c r="B7" s="36" t="n">
        <v>6</v>
      </c>
      <c r="C7" s="47" t="s">
        <v>849</v>
      </c>
      <c r="D7" s="47" t="s">
        <v>850</v>
      </c>
    </row>
    <row r="8" customFormat="false" ht="15" hidden="false" customHeight="true" outlineLevel="0" collapsed="false">
      <c r="A8" s="54" t="s">
        <v>851</v>
      </c>
      <c r="B8" s="40" t="n">
        <v>6</v>
      </c>
      <c r="C8" s="54" t="s">
        <v>852</v>
      </c>
      <c r="D8" s="54" t="s">
        <v>853</v>
      </c>
    </row>
    <row r="9" customFormat="false" ht="15" hidden="false" customHeight="true" outlineLevel="0" collapsed="false">
      <c r="A9" s="47" t="s">
        <v>854</v>
      </c>
      <c r="B9" s="36" t="n">
        <v>8</v>
      </c>
      <c r="C9" s="47" t="s">
        <v>855</v>
      </c>
      <c r="D9" s="47" t="s">
        <v>856</v>
      </c>
    </row>
    <row r="10" customFormat="false" ht="15" hidden="false" customHeight="true" outlineLevel="0" collapsed="false">
      <c r="A10" s="54" t="s">
        <v>857</v>
      </c>
      <c r="B10" s="40" t="n">
        <v>6</v>
      </c>
      <c r="C10" s="54" t="s">
        <v>858</v>
      </c>
      <c r="D10" s="54" t="s">
        <v>859</v>
      </c>
    </row>
    <row r="11" customFormat="false" ht="15" hidden="false" customHeight="true" outlineLevel="0" collapsed="false">
      <c r="A11" s="47" t="s">
        <v>860</v>
      </c>
      <c r="B11" s="36" t="n">
        <v>9</v>
      </c>
      <c r="C11" s="47" t="s">
        <v>861</v>
      </c>
      <c r="D11" s="47" t="s">
        <v>862</v>
      </c>
    </row>
    <row r="12" customFormat="false" ht="15" hidden="false" customHeight="true" outlineLevel="0" collapsed="false">
      <c r="A12" s="54" t="s">
        <v>863</v>
      </c>
      <c r="B12" s="40" t="n">
        <v>4</v>
      </c>
      <c r="C12" s="54" t="s">
        <v>864</v>
      </c>
      <c r="D12" s="54" t="s">
        <v>865</v>
      </c>
    </row>
    <row r="13" customFormat="false" ht="15" hidden="false" customHeight="true" outlineLevel="0" collapsed="false">
      <c r="A13" s="47" t="s">
        <v>866</v>
      </c>
      <c r="B13" s="36" t="n">
        <v>13</v>
      </c>
      <c r="C13" s="48" t="s">
        <v>867</v>
      </c>
      <c r="D13" s="48" t="s">
        <v>868</v>
      </c>
    </row>
    <row r="14" customFormat="false" ht="15" hidden="false" customHeight="true" outlineLevel="0" collapsed="false">
      <c r="A14" s="54" t="s">
        <v>869</v>
      </c>
      <c r="B14" s="40" t="n">
        <v>11</v>
      </c>
      <c r="C14" s="54" t="s">
        <v>870</v>
      </c>
      <c r="D14" s="54" t="s">
        <v>871</v>
      </c>
    </row>
    <row r="15" customFormat="false" ht="15" hidden="false" customHeight="true" outlineLevel="0" collapsed="false">
      <c r="A15" s="47" t="s">
        <v>25</v>
      </c>
      <c r="B15" s="36" t="n">
        <v>8</v>
      </c>
      <c r="C15" s="47" t="s">
        <v>872</v>
      </c>
      <c r="D15" s="47" t="s">
        <v>873</v>
      </c>
    </row>
    <row r="17" customFormat="false" ht="18.75" hidden="false" customHeight="true" outlineLevel="0" collapsed="false">
      <c r="A17" s="55" t="s">
        <v>874</v>
      </c>
      <c r="B17" s="55"/>
      <c r="C17" s="55"/>
      <c r="D17" s="55"/>
    </row>
    <row r="18" customFormat="false" ht="15" hidden="false" customHeight="true" outlineLevel="0" collapsed="false">
      <c r="A18" s="56" t="s">
        <v>875</v>
      </c>
      <c r="B18" s="57" t="s">
        <v>876</v>
      </c>
      <c r="C18" s="57"/>
      <c r="D18" s="57"/>
    </row>
    <row r="19" customFormat="false" ht="15" hidden="false" customHeight="true" outlineLevel="0" collapsed="false">
      <c r="A19" s="56" t="s">
        <v>877</v>
      </c>
      <c r="B19" s="57" t="s">
        <v>878</v>
      </c>
      <c r="C19" s="57"/>
      <c r="D19" s="57"/>
    </row>
    <row r="20" customFormat="false" ht="15" hidden="false" customHeight="true" outlineLevel="0" collapsed="false">
      <c r="A20" s="56" t="s">
        <v>879</v>
      </c>
      <c r="B20" s="57" t="s">
        <v>880</v>
      </c>
      <c r="C20" s="57"/>
      <c r="D20" s="57"/>
    </row>
    <row r="21" customFormat="false" ht="15" hidden="false" customHeight="true" outlineLevel="0" collapsed="false">
      <c r="A21" s="56" t="s">
        <v>881</v>
      </c>
      <c r="B21" s="57" t="s">
        <v>882</v>
      </c>
      <c r="C21" s="57"/>
      <c r="D21" s="57"/>
    </row>
    <row r="23" customFormat="false" ht="16.5" hidden="false" customHeight="true" outlineLevel="0" collapsed="false">
      <c r="A23" s="58" t="s">
        <v>883</v>
      </c>
      <c r="B23" s="58"/>
      <c r="C23" s="58"/>
      <c r="D23" s="58"/>
    </row>
    <row r="24" customFormat="false" ht="13.5" hidden="false" customHeight="true" outlineLevel="0" collapsed="false">
      <c r="A24" s="59" t="s">
        <v>884</v>
      </c>
      <c r="B24" s="59"/>
      <c r="C24" s="59"/>
      <c r="D24" s="59"/>
    </row>
    <row r="25" customFormat="false" ht="15" hidden="false" customHeight="true" outlineLevel="0" collapsed="false">
      <c r="A25" s="59" t="s">
        <v>885</v>
      </c>
      <c r="B25" s="59"/>
      <c r="C25" s="59"/>
      <c r="D25" s="59"/>
    </row>
    <row r="26" customFormat="false" ht="15" hidden="false" customHeight="true" outlineLevel="0" collapsed="false">
      <c r="A26" s="59" t="s">
        <v>886</v>
      </c>
      <c r="B26" s="59"/>
      <c r="C26" s="59"/>
      <c r="D26" s="59"/>
    </row>
    <row r="27" customFormat="false" ht="13.5" hidden="false" customHeight="true" outlineLevel="0" collapsed="false">
      <c r="A27" s="59" t="s">
        <v>887</v>
      </c>
      <c r="B27" s="59"/>
      <c r="C27" s="59"/>
      <c r="D27" s="59"/>
    </row>
    <row r="28" customFormat="false" ht="13.5" hidden="false" customHeight="true" outlineLevel="0" collapsed="false">
      <c r="A28" s="59" t="s">
        <v>888</v>
      </c>
      <c r="B28" s="59"/>
      <c r="C28" s="59"/>
      <c r="D28" s="59"/>
    </row>
    <row r="30" customFormat="false" ht="13.5" hidden="false" customHeight="true" outlineLevel="0" collapsed="false">
      <c r="A30" s="60" t="s">
        <v>889</v>
      </c>
      <c r="B30" s="60"/>
      <c r="C30" s="60"/>
      <c r="D30" s="60"/>
    </row>
  </sheetData>
  <mergeCells count="13">
    <mergeCell ref="A1:D1"/>
    <mergeCell ref="A17:D17"/>
    <mergeCell ref="B18:D18"/>
    <mergeCell ref="B19:D19"/>
    <mergeCell ref="B20:D20"/>
    <mergeCell ref="B21:D21"/>
    <mergeCell ref="A23:D23"/>
    <mergeCell ref="A24:D24"/>
    <mergeCell ref="A25:D25"/>
    <mergeCell ref="A26:D26"/>
    <mergeCell ref="A27:D27"/>
    <mergeCell ref="A28:D28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2026-04-11T15:27:36Z</dcterms:created>
  <dc:creator>openpyxl</dc:creator>
  <dc:description/>
  <dc:language>en-US</dc:language>
  <cp:lastModifiedBy/>
  <dcterms:modified xsi:type="dcterms:W3CDTF">2026-04-11T15:31:10Z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