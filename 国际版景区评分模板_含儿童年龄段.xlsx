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际景区底表" sheetId="1" state="visible" r:id="rId1"/>
    <sheet xmlns:r="http://schemas.openxmlformats.org/officeDocument/2006/relationships" name="评分权重" sheetId="2" state="visible" r:id="rId2"/>
    <sheet xmlns:r="http://schemas.openxmlformats.org/officeDocument/2006/relationships" name="国家池" sheetId="3" state="visible" r:id="rId3"/>
    <sheet xmlns:r="http://schemas.openxmlformats.org/officeDocument/2006/relationships" name="综合TOP20_样例" sheetId="4" state="visible" r:id="rId4"/>
    <sheet xmlns:r="http://schemas.openxmlformats.org/officeDocument/2006/relationships" name="方法说明" sheetId="5" state="visible" r:id="rId5"/>
  </sheets>
  <definedNames>
    <definedName name="_xlnm._FilterDatabase" localSheetId="0" hidden="1">'国际景区底表'!$A$1:$Y$54</definedName>
    <definedName name="_xlnm._FilterDatabase" localSheetId="1" hidden="1">'评分权重'!$A$1:$B$14</definedName>
    <definedName name="_xlnm._FilterDatabase" localSheetId="2" hidden="1">'国家池'!$A$1:$F$49</definedName>
    <definedName name="_xlnm._FilterDatabase" localSheetId="3" hidden="1">'综合TOP20_样例'!$A$1:$I$21</definedName>
    <definedName name="_xlnm._FilterDatabase" localSheetId="4" hidden="1">'方法说明'!$A$1:$B$12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FF"/>
    </font>
    <font>
      <color rgb="00666666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N1" authorId="0" shapeId="0">
      <text>
        <t>旅游安全度：普通游客安全体感，10分最高。</t>
      </text>
    </comment>
    <comment ref="O1" authorId="0" shapeId="0">
      <text>
        <t>华人安全度：华人/中文游客安全与友好体感，10分最高。</t>
      </text>
    </comment>
    <comment ref="X1" authorId="0" shapeId="0">
      <text>
        <t>综合量化加权满意度由评分权重表自动汇总。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6" customWidth="1" min="5" max="5"/>
    <col width="28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0" customWidth="1" min="18" max="18"/>
    <col width="10" customWidth="1" min="19" max="19"/>
    <col width="20" customWidth="1" min="20" max="20"/>
    <col width="14" customWidth="1" min="21" max="21"/>
    <col width="14" customWidth="1" min="22" max="22"/>
    <col width="10" customWidth="1" min="23" max="23"/>
    <col width="14" customWidth="1" min="24" max="24"/>
    <col width="24" customWidth="1" min="25" max="25"/>
    <col width="22" customWidth="1" min="26" max="26"/>
  </cols>
  <sheetData>
    <row r="1">
      <c r="A1" s="1" t="inlineStr">
        <is>
          <t>区域大类</t>
        </is>
      </c>
      <c r="B1" s="1" t="inlineStr">
        <is>
          <t>子区域</t>
        </is>
      </c>
      <c r="C1" s="1" t="inlineStr">
        <is>
          <t>国家</t>
        </is>
      </c>
      <c r="D1" s="1" t="inlineStr">
        <is>
          <t>对华免签状态(2026)</t>
        </is>
      </c>
      <c r="E1" s="1" t="inlineStr">
        <is>
          <t>城市/目的地</t>
        </is>
      </c>
      <c r="F1" s="1" t="inlineStr">
        <is>
          <t>景区/景点</t>
        </is>
      </c>
      <c r="G1" s="1" t="inlineStr">
        <is>
          <t>景区类型</t>
        </is>
      </c>
      <c r="H1" s="1" t="inlineStr">
        <is>
          <t>代表级别/标签</t>
        </is>
      </c>
      <c r="I1" s="1" t="inlineStr">
        <is>
          <t>游客口碑</t>
        </is>
      </c>
      <c r="J1" s="1" t="inlineStr">
        <is>
          <t>亲子友好度</t>
        </is>
      </c>
      <c r="K1" s="1" t="inlineStr">
        <is>
          <t>老人友好度</t>
        </is>
      </c>
      <c r="L1" s="1" t="inlineStr">
        <is>
          <t>夫妻友好度</t>
        </is>
      </c>
      <c r="M1" s="1" t="inlineStr">
        <is>
          <t>一人游友好度</t>
        </is>
      </c>
      <c r="N1" s="1" t="inlineStr">
        <is>
          <t>旅游安全度</t>
        </is>
      </c>
      <c r="O1" s="1" t="inlineStr">
        <is>
          <t>华人安全度</t>
        </is>
      </c>
      <c r="P1" s="1" t="inlineStr">
        <is>
          <t>游览时长</t>
        </is>
      </c>
      <c r="Q1" s="1" t="inlineStr">
        <is>
          <t>平均酒景预算(元/人次)</t>
        </is>
      </c>
      <c r="R1" s="1" t="inlineStr">
        <is>
          <t>交通可达性</t>
        </is>
      </c>
      <c r="S1" s="1" t="inlineStr">
        <is>
          <t>季节适宜性</t>
        </is>
      </c>
      <c r="T1" s="1" t="inlineStr">
        <is>
          <t>最佳旅游季节和月份</t>
        </is>
      </c>
      <c r="U1" s="1" t="inlineStr">
        <is>
          <t>文化/生态/独特价值</t>
        </is>
      </c>
      <c r="V1" s="1" t="inlineStr">
        <is>
          <t>基础设施与配套</t>
        </is>
      </c>
      <c r="W1" s="1" t="inlineStr">
        <is>
          <t>性价比</t>
        </is>
      </c>
      <c r="X1" s="1" t="inlineStr">
        <is>
          <t>综合量化加权满意度</t>
        </is>
      </c>
      <c r="Y1" s="1" t="inlineStr">
        <is>
          <t>数据来源/备注</t>
        </is>
      </c>
      <c r="Z1" s="1" t="inlineStr">
        <is>
          <t>适合多大年龄段的小朋友一起出行</t>
        </is>
      </c>
    </row>
    <row r="2">
      <c r="A2" s="2" t="inlineStr">
        <is>
          <t>大洋洲</t>
        </is>
      </c>
      <c r="B2" s="2" t="inlineStr">
        <is>
          <t>澳洲新西兰</t>
        </is>
      </c>
      <c r="C2" s="2" t="inlineStr">
        <is>
          <t>澳大利亚</t>
        </is>
      </c>
      <c r="D2" s="2" t="inlineStr">
        <is>
          <t>是</t>
        </is>
      </c>
      <c r="E2" s="2" t="inlineStr">
        <is>
          <t>悉尼</t>
        </is>
      </c>
      <c r="F2" s="2" t="inlineStr">
        <is>
          <t>悉尼歌剧院+海港区</t>
        </is>
      </c>
      <c r="G2" s="2" t="inlineStr">
        <is>
          <t>城市地标/文化</t>
        </is>
      </c>
      <c r="H2" s="2" t="inlineStr">
        <is>
          <t>国际顶流</t>
        </is>
      </c>
      <c r="I2" s="3" t="n">
        <v>9.199999999999999</v>
      </c>
      <c r="J2" s="3" t="n">
        <v>8.6</v>
      </c>
      <c r="K2" s="3" t="n">
        <v>8.800000000000001</v>
      </c>
      <c r="L2" s="3" t="n">
        <v>9.300000000000001</v>
      </c>
      <c r="M2" s="3" t="n">
        <v>9</v>
      </c>
      <c r="N2" s="3" t="n">
        <v>8.699999999999999</v>
      </c>
      <c r="O2" s="3" t="n">
        <v>8.800000000000001</v>
      </c>
      <c r="P2" s="4" t="inlineStr">
        <is>
          <t>0.5-1天</t>
        </is>
      </c>
      <c r="Q2" s="3" t="n">
        <v>1800</v>
      </c>
      <c r="R2" s="3" t="n">
        <v>9.5</v>
      </c>
      <c r="S2" s="3" t="n">
        <v>8.699999999999999</v>
      </c>
      <c r="T2" s="4" t="inlineStr">
        <is>
          <t>全年; 9-11月, 3-5月</t>
        </is>
      </c>
      <c r="U2" s="3" t="n">
        <v>9.4</v>
      </c>
      <c r="V2" s="3" t="n">
        <v>9.4</v>
      </c>
      <c r="W2" s="3" t="n">
        <v>7.8</v>
      </c>
      <c r="X2" s="5">
        <f>IF(COUNTA(I2:O2,R2:S2,U2:W2)&lt;12,"",ROUND(I2*$B$2+J2*$B$3+K2*$B$4+L2*$B$5+M2*$B$6+N2*$B$7+O2*$B$8+R2*$B$9+S2*$B$10+U2*$B$11+V2*$B$12+W2*$B$13,2))</f>
        <v/>
      </c>
      <c r="Y2" s="4" t="inlineStr">
        <is>
          <t>官方旅游局/手动维护</t>
        </is>
      </c>
      <c r="Z2" s="4" t="inlineStr">
        <is>
          <t>4-12岁</t>
        </is>
      </c>
    </row>
    <row r="3">
      <c r="A3" s="2" t="inlineStr">
        <is>
          <t>大洋洲</t>
        </is>
      </c>
      <c r="B3" s="2" t="inlineStr">
        <is>
          <t>澳洲新西兰</t>
        </is>
      </c>
      <c r="C3" s="2" t="inlineStr">
        <is>
          <t>澳大利亚</t>
        </is>
      </c>
      <c r="D3" s="2" t="inlineStr">
        <is>
          <t>是</t>
        </is>
      </c>
      <c r="E3" s="2" t="inlineStr">
        <is>
          <t>大堡礁</t>
        </is>
      </c>
      <c r="F3" s="2" t="inlineStr">
        <is>
          <t>大堡礁</t>
        </is>
      </c>
      <c r="G3" s="2" t="inlineStr">
        <is>
          <t>自然生态/海岛</t>
        </is>
      </c>
      <c r="H3" s="2" t="inlineStr">
        <is>
          <t>世界级自然遗产</t>
        </is>
      </c>
      <c r="I3" s="3" t="n">
        <v>9.4</v>
      </c>
      <c r="J3" s="3" t="n">
        <v>8.9</v>
      </c>
      <c r="K3" s="3" t="n">
        <v>6.8</v>
      </c>
      <c r="L3" s="3" t="n">
        <v>9.1</v>
      </c>
      <c r="M3" s="3" t="n">
        <v>8.5</v>
      </c>
      <c r="N3" s="3" t="n">
        <v>8.5</v>
      </c>
      <c r="O3" s="3" t="n">
        <v>8</v>
      </c>
      <c r="P3" s="4" t="inlineStr">
        <is>
          <t>1-3天</t>
        </is>
      </c>
      <c r="Q3" s="3" t="n">
        <v>3500</v>
      </c>
      <c r="R3" s="3" t="n">
        <v>7.2</v>
      </c>
      <c r="S3" s="3" t="n">
        <v>7.5</v>
      </c>
      <c r="T3" s="4" t="inlineStr">
        <is>
          <t>6-10月</t>
        </is>
      </c>
      <c r="U3" s="3" t="n">
        <v>9.800000000000001</v>
      </c>
      <c r="V3" s="3" t="n">
        <v>7.8</v>
      </c>
      <c r="W3" s="3" t="n">
        <v>6.9</v>
      </c>
      <c r="X3" s="5">
        <f>IF(COUNTA(I3:O3,R3:S3,U3:W3)&lt;12,"",ROUND(I3*$B$2+J3*$B$3+K3*$B$4+L3*$B$5+M3*$B$6+N3*$B$7+O3*$B$8+R3*$B$9+S3*$B$10+U3*$B$11+V3*$B$12+W3*$B$13,2))</f>
        <v/>
      </c>
      <c r="Y3" s="4" t="inlineStr">
        <is>
          <t>官方旅游局/手动维护</t>
        </is>
      </c>
      <c r="Z3" s="4" t="inlineStr">
        <is>
          <t>4-12岁</t>
        </is>
      </c>
    </row>
    <row r="4">
      <c r="A4" s="2" t="inlineStr">
        <is>
          <t>大洋洲</t>
        </is>
      </c>
      <c r="B4" s="2" t="inlineStr">
        <is>
          <t>澳洲新西兰</t>
        </is>
      </c>
      <c r="C4" s="2" t="inlineStr">
        <is>
          <t>澳大利亚</t>
        </is>
      </c>
      <c r="D4" s="2" t="inlineStr">
        <is>
          <t>是</t>
        </is>
      </c>
      <c r="E4" s="2" t="inlineStr">
        <is>
          <t>北领地</t>
        </is>
      </c>
      <c r="F4" s="2" t="inlineStr">
        <is>
          <t>乌鲁鲁-卡塔丘塔国家公园</t>
        </is>
      </c>
      <c r="G4" s="2" t="inlineStr">
        <is>
          <t>自然+原住民文化</t>
        </is>
      </c>
      <c r="H4" s="2" t="inlineStr">
        <is>
          <t>世界级自然文化复合</t>
        </is>
      </c>
      <c r="I4" s="3" t="n">
        <v>9.300000000000001</v>
      </c>
      <c r="J4" s="3" t="n">
        <v>7</v>
      </c>
      <c r="K4" s="3" t="n">
        <v>6</v>
      </c>
      <c r="L4" s="3" t="n">
        <v>8.800000000000001</v>
      </c>
      <c r="M4" s="3" t="n">
        <v>8.4</v>
      </c>
      <c r="N4" s="3" t="n">
        <v>8.800000000000001</v>
      </c>
      <c r="O4" s="3" t="n">
        <v>8</v>
      </c>
      <c r="P4" s="4" t="inlineStr">
        <is>
          <t>1-2天</t>
        </is>
      </c>
      <c r="Q4" s="3" t="n">
        <v>3000</v>
      </c>
      <c r="R4" s="3" t="n">
        <v>5.8</v>
      </c>
      <c r="S4" s="3" t="n">
        <v>7.8</v>
      </c>
      <c r="T4" s="4" t="inlineStr">
        <is>
          <t>5-9月</t>
        </is>
      </c>
      <c r="U4" s="3" t="n">
        <v>9.800000000000001</v>
      </c>
      <c r="V4" s="3" t="n">
        <v>6.8</v>
      </c>
      <c r="W4" s="3" t="n">
        <v>6.8</v>
      </c>
      <c r="X4" s="5">
        <f>IF(COUNTA(I4:O4,R4:S4,U4:W4)&lt;12,"",ROUND(I4*$B$2+J4*$B$3+K4*$B$4+L4*$B$5+M4*$B$6+N4*$B$7+O4*$B$8+R4*$B$9+S4*$B$10+U4*$B$11+V4*$B$12+W4*$B$13,2))</f>
        <v/>
      </c>
      <c r="Y4" s="4" t="inlineStr">
        <is>
          <t>官方旅游局/手动维护</t>
        </is>
      </c>
      <c r="Z4" s="4" t="inlineStr">
        <is>
          <t>8岁+</t>
        </is>
      </c>
    </row>
    <row r="5">
      <c r="A5" s="2" t="inlineStr">
        <is>
          <t>大洋洲</t>
        </is>
      </c>
      <c r="B5" s="2" t="inlineStr">
        <is>
          <t>澳洲新西兰</t>
        </is>
      </c>
      <c r="C5" s="2" t="inlineStr">
        <is>
          <t>新西兰</t>
        </is>
      </c>
      <c r="D5" s="2" t="inlineStr">
        <is>
          <t>是</t>
        </is>
      </c>
      <c r="E5" s="2" t="inlineStr">
        <is>
          <t>皇后镇/峡湾</t>
        </is>
      </c>
      <c r="F5" s="2" t="inlineStr">
        <is>
          <t>米尔福德峡湾</t>
        </is>
      </c>
      <c r="G5" s="2" t="inlineStr">
        <is>
          <t>自然风光</t>
        </is>
      </c>
      <c r="H5" s="2" t="inlineStr">
        <is>
          <t>世界级自然景观</t>
        </is>
      </c>
      <c r="I5" s="3" t="n">
        <v>9.5</v>
      </c>
      <c r="J5" s="3" t="n">
        <v>8</v>
      </c>
      <c r="K5" s="3" t="n">
        <v>6.5</v>
      </c>
      <c r="L5" s="3" t="n">
        <v>9.199999999999999</v>
      </c>
      <c r="M5" s="3" t="n">
        <v>8.800000000000001</v>
      </c>
      <c r="N5" s="3" t="n">
        <v>9</v>
      </c>
      <c r="O5" s="3" t="n">
        <v>8.199999999999999</v>
      </c>
      <c r="P5" s="4" t="inlineStr">
        <is>
          <t>1天</t>
        </is>
      </c>
      <c r="Q5" s="3" t="n">
        <v>2600</v>
      </c>
      <c r="R5" s="3" t="n">
        <v>6.8</v>
      </c>
      <c r="S5" s="3" t="n">
        <v>7.9</v>
      </c>
      <c r="T5" s="4" t="inlineStr">
        <is>
          <t>11月-次年4月</t>
        </is>
      </c>
      <c r="U5" s="3" t="n">
        <v>9.699999999999999</v>
      </c>
      <c r="V5" s="3" t="n">
        <v>7.2</v>
      </c>
      <c r="W5" s="3" t="n">
        <v>7.2</v>
      </c>
      <c r="X5" s="5">
        <f>IF(COUNTA(I5:O5,R5:S5,U5:W5)&lt;12,"",ROUND(I5*$B$2+J5*$B$3+K5*$B$4+L5*$B$5+M5*$B$6+N5*$B$7+O5*$B$8+R5*$B$9+S5*$B$10+U5*$B$11+V5*$B$12+W5*$B$13,2))</f>
        <v/>
      </c>
      <c r="Y5" s="4" t="inlineStr">
        <is>
          <t>官方旅游局/手动维护</t>
        </is>
      </c>
      <c r="Z5" s="4" t="inlineStr">
        <is>
          <t>5-12岁</t>
        </is>
      </c>
    </row>
    <row r="6">
      <c r="A6" s="2" t="inlineStr">
        <is>
          <t>大洋洲</t>
        </is>
      </c>
      <c r="B6" s="2" t="inlineStr">
        <is>
          <t>澳洲新西兰</t>
        </is>
      </c>
      <c r="C6" s="2" t="inlineStr">
        <is>
          <t>新西兰</t>
        </is>
      </c>
      <c r="D6" s="2" t="inlineStr">
        <is>
          <t>是</t>
        </is>
      </c>
      <c r="E6" s="2" t="inlineStr">
        <is>
          <t>罗托鲁瓦</t>
        </is>
      </c>
      <c r="F6" s="2" t="inlineStr">
        <is>
          <t>罗托鲁瓦地热区</t>
        </is>
      </c>
      <c r="G6" s="2" t="inlineStr">
        <is>
          <t>自然+文化体验</t>
        </is>
      </c>
      <c r="H6" s="2" t="inlineStr">
        <is>
          <t>家庭友好</t>
        </is>
      </c>
      <c r="I6" s="3" t="n">
        <v>8.9</v>
      </c>
      <c r="J6" s="3" t="n">
        <v>8.800000000000001</v>
      </c>
      <c r="K6" s="3" t="n">
        <v>7.5</v>
      </c>
      <c r="L6" s="3" t="n">
        <v>8.5</v>
      </c>
      <c r="M6" s="3" t="n">
        <v>7.8</v>
      </c>
      <c r="N6" s="3" t="n">
        <v>9.1</v>
      </c>
      <c r="O6" s="3" t="n">
        <v>8.300000000000001</v>
      </c>
      <c r="P6" s="4" t="inlineStr">
        <is>
          <t>1-2天</t>
        </is>
      </c>
      <c r="Q6" s="3" t="n">
        <v>2200</v>
      </c>
      <c r="R6" s="3" t="n">
        <v>7.5</v>
      </c>
      <c r="S6" s="3" t="n">
        <v>8.4</v>
      </c>
      <c r="T6" s="4" t="inlineStr">
        <is>
          <t>10月-次年4月</t>
        </is>
      </c>
      <c r="U6" s="3" t="n">
        <v>8.800000000000001</v>
      </c>
      <c r="V6" s="3" t="n">
        <v>8.300000000000001</v>
      </c>
      <c r="W6" s="3" t="n">
        <v>7.9</v>
      </c>
      <c r="X6" s="5">
        <f>IF(COUNTA(I6:O6,R6:S6,U6:W6)&lt;12,"",ROUND(I6*$B$2+J6*$B$3+K6*$B$4+L6*$B$5+M6*$B$6+N6*$B$7+O6*$B$8+R6*$B$9+S6*$B$10+U6*$B$11+V6*$B$12+W6*$B$13,2))</f>
        <v/>
      </c>
      <c r="Y6" s="4" t="inlineStr">
        <is>
          <t>官方旅游局/手动维护</t>
        </is>
      </c>
      <c r="Z6" s="4" t="inlineStr">
        <is>
          <t>3-12岁</t>
        </is>
      </c>
    </row>
    <row r="7">
      <c r="A7" s="2" t="inlineStr">
        <is>
          <t>西亚</t>
        </is>
      </c>
      <c r="B7" s="2" t="inlineStr">
        <is>
          <t>阿拉伯半岛</t>
        </is>
      </c>
      <c r="C7" s="2" t="inlineStr">
        <is>
          <t>阿联酋</t>
        </is>
      </c>
      <c r="D7" s="2" t="inlineStr">
        <is>
          <t>互免/免签</t>
        </is>
      </c>
      <c r="E7" s="2" t="inlineStr">
        <is>
          <t>迪拜</t>
        </is>
      </c>
      <c r="F7" s="2" t="inlineStr">
        <is>
          <t>哈利法塔+迪拜市区地标群</t>
        </is>
      </c>
      <c r="G7" s="2" t="inlineStr">
        <is>
          <t>城市地标</t>
        </is>
      </c>
      <c r="H7" s="2" t="inlineStr">
        <is>
          <t>国际枢纽型</t>
        </is>
      </c>
      <c r="I7" s="3" t="n">
        <v>9</v>
      </c>
      <c r="J7" s="3" t="n">
        <v>8.699999999999999</v>
      </c>
      <c r="K7" s="3" t="n">
        <v>8.300000000000001</v>
      </c>
      <c r="L7" s="3" t="n">
        <v>9.1</v>
      </c>
      <c r="M7" s="3" t="n">
        <v>9</v>
      </c>
      <c r="N7" s="3" t="n">
        <v>8.300000000000001</v>
      </c>
      <c r="O7" s="3" t="n">
        <v>8.699999999999999</v>
      </c>
      <c r="P7" s="4" t="inlineStr">
        <is>
          <t>1-2天</t>
        </is>
      </c>
      <c r="Q7" s="3" t="n">
        <v>2500</v>
      </c>
      <c r="R7" s="3" t="n">
        <v>9.800000000000001</v>
      </c>
      <c r="S7" s="3" t="n">
        <v>8.6</v>
      </c>
      <c r="T7" s="4" t="inlineStr">
        <is>
          <t>11月-次年3月</t>
        </is>
      </c>
      <c r="U7" s="3" t="n">
        <v>8.800000000000001</v>
      </c>
      <c r="V7" s="3" t="n">
        <v>9.6</v>
      </c>
      <c r="W7" s="3" t="n">
        <v>7</v>
      </c>
      <c r="X7" s="5">
        <f>IF(COUNTA(I7:O7,R7:S7,U7:W7)&lt;12,"",ROUND(I7*$B$2+J7*$B$3+K7*$B$4+L7*$B$5+M7*$B$6+N7*$B$7+O7*$B$8+R7*$B$9+S7*$B$10+U7*$B$11+V7*$B$12+W7*$B$13,2))</f>
        <v/>
      </c>
      <c r="Y7" s="4" t="inlineStr">
        <is>
          <t>官方旅游局/手动维护</t>
        </is>
      </c>
      <c r="Z7" s="4" t="inlineStr">
        <is>
          <t>3-12岁</t>
        </is>
      </c>
    </row>
    <row r="8">
      <c r="A8" s="2" t="inlineStr">
        <is>
          <t>西亚</t>
        </is>
      </c>
      <c r="B8" s="2" t="inlineStr">
        <is>
          <t>阿拉伯半岛</t>
        </is>
      </c>
      <c r="C8" s="2" t="inlineStr">
        <is>
          <t>沙特</t>
        </is>
      </c>
      <c r="D8" s="2" t="inlineStr">
        <is>
          <t>是</t>
        </is>
      </c>
      <c r="E8" s="2" t="inlineStr">
        <is>
          <t>阿尔乌拉</t>
        </is>
      </c>
      <c r="F8" s="2" t="inlineStr">
        <is>
          <t>黑格拉古城/阿尔乌拉</t>
        </is>
      </c>
      <c r="G8" s="2" t="inlineStr">
        <is>
          <t>文化遗产</t>
        </is>
      </c>
      <c r="H8" s="2" t="inlineStr">
        <is>
          <t>新兴高热度</t>
        </is>
      </c>
      <c r="I8" s="3" t="n">
        <v>9.1</v>
      </c>
      <c r="J8" s="3" t="n">
        <v>7.2</v>
      </c>
      <c r="K8" s="3" t="n">
        <v>6.8</v>
      </c>
      <c r="L8" s="3" t="n">
        <v>9</v>
      </c>
      <c r="M8" s="3" t="n">
        <v>8.1</v>
      </c>
      <c r="N8" s="3" t="n">
        <v>8</v>
      </c>
      <c r="O8" s="3" t="n">
        <v>7.5</v>
      </c>
      <c r="P8" s="4" t="inlineStr">
        <is>
          <t>1-2天</t>
        </is>
      </c>
      <c r="Q8" s="3" t="n">
        <v>2600</v>
      </c>
      <c r="R8" s="3" t="n">
        <v>6.8</v>
      </c>
      <c r="S8" s="3" t="n">
        <v>7.8</v>
      </c>
      <c r="T8" s="4" t="inlineStr">
        <is>
          <t>10月-次年3月</t>
        </is>
      </c>
      <c r="U8" s="3" t="n">
        <v>9.300000000000001</v>
      </c>
      <c r="V8" s="3" t="n">
        <v>7.4</v>
      </c>
      <c r="W8" s="3" t="n">
        <v>7.1</v>
      </c>
      <c r="X8" s="5">
        <f>IF(COUNTA(I8:O8,R8:S8,U8:W8)&lt;12,"",ROUND(I8*$B$2+J8*$B$3+K8*$B$4+L8*$B$5+M8*$B$6+N8*$B$7+O8*$B$8+R8*$B$9+S8*$B$10+U8*$B$11+V8*$B$12+W8*$B$13,2))</f>
        <v/>
      </c>
      <c r="Y8" s="4" t="inlineStr">
        <is>
          <t>官方旅游局/手动维护</t>
        </is>
      </c>
      <c r="Z8" s="4" t="inlineStr">
        <is>
          <t>6-15岁</t>
        </is>
      </c>
    </row>
    <row r="9">
      <c r="A9" s="2" t="inlineStr">
        <is>
          <t>西亚</t>
        </is>
      </c>
      <c r="B9" s="2" t="inlineStr">
        <is>
          <t>阿拉伯半岛</t>
        </is>
      </c>
      <c r="C9" s="2" t="inlineStr">
        <is>
          <t>阿曼</t>
        </is>
      </c>
      <c r="D9" s="2" t="inlineStr">
        <is>
          <t>是</t>
        </is>
      </c>
      <c r="E9" s="2" t="inlineStr">
        <is>
          <t>马斯喀特/周边</t>
        </is>
      </c>
      <c r="F9" s="2" t="inlineStr">
        <is>
          <t>瓦迪沙卜+海岸山谷</t>
        </is>
      </c>
      <c r="G9" s="2" t="inlineStr">
        <is>
          <t>自然风光</t>
        </is>
      </c>
      <c r="H9" s="2" t="inlineStr">
        <is>
          <t>小众高口碑</t>
        </is>
      </c>
      <c r="I9" s="3" t="n">
        <v>9</v>
      </c>
      <c r="J9" s="3" t="n">
        <v>7</v>
      </c>
      <c r="K9" s="3" t="n">
        <v>5.8</v>
      </c>
      <c r="L9" s="3" t="n">
        <v>8.800000000000001</v>
      </c>
      <c r="M9" s="3" t="n">
        <v>8.5</v>
      </c>
      <c r="N9" s="3" t="n">
        <v>8.800000000000001</v>
      </c>
      <c r="O9" s="3" t="n">
        <v>8.1</v>
      </c>
      <c r="P9" s="4" t="inlineStr">
        <is>
          <t>1天</t>
        </is>
      </c>
      <c r="Q9" s="3" t="n">
        <v>1800</v>
      </c>
      <c r="R9" s="3" t="n">
        <v>6.2</v>
      </c>
      <c r="S9" s="3" t="n">
        <v>7.5</v>
      </c>
      <c r="T9" s="4" t="inlineStr">
        <is>
          <t>10月-次年4月</t>
        </is>
      </c>
      <c r="U9" s="3" t="n">
        <v>8.699999999999999</v>
      </c>
      <c r="V9" s="3" t="n">
        <v>6.7</v>
      </c>
      <c r="W9" s="3" t="n">
        <v>8.199999999999999</v>
      </c>
      <c r="X9" s="5">
        <f>IF(COUNTA(I9:O9,R9:S9,U9:W9)&lt;12,"",ROUND(I9*$B$2+J9*$B$3+K9*$B$4+L9*$B$5+M9*$B$6+N9*$B$7+O9*$B$8+R9*$B$9+S9*$B$10+U9*$B$11+V9*$B$12+W9*$B$13,2))</f>
        <v/>
      </c>
      <c r="Y9" s="4" t="inlineStr">
        <is>
          <t>官方旅游局/手动维护</t>
        </is>
      </c>
      <c r="Z9" s="4" t="inlineStr">
        <is>
          <t>8岁+</t>
        </is>
      </c>
    </row>
    <row r="10">
      <c r="A10" s="2" t="inlineStr">
        <is>
          <t>西亚</t>
        </is>
      </c>
      <c r="B10" s="2" t="inlineStr">
        <is>
          <t>约旦/黎凡特</t>
        </is>
      </c>
      <c r="C10" s="2" t="inlineStr">
        <is>
          <t>约旦</t>
        </is>
      </c>
      <c r="D10" s="2" t="inlineStr">
        <is>
          <t>否</t>
        </is>
      </c>
      <c r="E10" s="2" t="inlineStr">
        <is>
          <t>佩特拉</t>
        </is>
      </c>
      <c r="F10" s="2" t="inlineStr">
        <is>
          <t>佩特拉古城</t>
        </is>
      </c>
      <c r="G10" s="2" t="inlineStr">
        <is>
          <t>文化遗产</t>
        </is>
      </c>
      <c r="H10" s="2" t="inlineStr">
        <is>
          <t>世界级遗址</t>
        </is>
      </c>
      <c r="I10" s="3" t="n">
        <v>9.4</v>
      </c>
      <c r="J10" s="3" t="n">
        <v>7.1</v>
      </c>
      <c r="K10" s="3" t="n">
        <v>5.9</v>
      </c>
      <c r="L10" s="3" t="n">
        <v>9.1</v>
      </c>
      <c r="M10" s="3" t="n">
        <v>8.5</v>
      </c>
      <c r="N10" s="3" t="n">
        <v>7.5</v>
      </c>
      <c r="O10" s="3" t="n">
        <v>7.2</v>
      </c>
      <c r="P10" s="4" t="inlineStr">
        <is>
          <t>1-2天</t>
        </is>
      </c>
      <c r="Q10" s="3" t="n">
        <v>2100</v>
      </c>
      <c r="R10" s="3" t="n">
        <v>6.3</v>
      </c>
      <c r="S10" s="3" t="n">
        <v>7.2</v>
      </c>
      <c r="T10" s="4" t="inlineStr">
        <is>
          <t>3-5月, 9-11月</t>
        </is>
      </c>
      <c r="U10" s="3" t="n">
        <v>9.800000000000001</v>
      </c>
      <c r="V10" s="3" t="n">
        <v>6.8</v>
      </c>
      <c r="W10" s="3" t="n">
        <v>8</v>
      </c>
      <c r="X10" s="5">
        <f>IF(COUNTA(I10:O10,R10:S10,U10:W10)&lt;12,"",ROUND(I10*$B$2+J10*$B$3+K10*$B$4+L10*$B$5+M10*$B$6+N10*$B$7+O10*$B$8+R10*$B$9+S10*$B$10+U10*$B$11+V10*$B$12+W10*$B$13,2))</f>
        <v/>
      </c>
      <c r="Y10" s="4" t="inlineStr">
        <is>
          <t>官方旅游局/手动维护</t>
        </is>
      </c>
      <c r="Z10" s="4" t="inlineStr">
        <is>
          <t>8岁+</t>
        </is>
      </c>
    </row>
    <row r="11">
      <c r="A11" s="2" t="inlineStr">
        <is>
          <t>西亚</t>
        </is>
      </c>
      <c r="B11" s="2" t="inlineStr">
        <is>
          <t>土耳其高加索</t>
        </is>
      </c>
      <c r="C11" s="2" t="inlineStr">
        <is>
          <t>土耳其</t>
        </is>
      </c>
      <c r="D11" s="2" t="inlineStr">
        <is>
          <t>否</t>
        </is>
      </c>
      <c r="E11" s="2" t="inlineStr">
        <is>
          <t>卡帕多奇亚</t>
        </is>
      </c>
      <c r="F11" s="2" t="inlineStr">
        <is>
          <t>卡帕多奇亚</t>
        </is>
      </c>
      <c r="G11" s="2" t="inlineStr">
        <is>
          <t>自然+人文</t>
        </is>
      </c>
      <c r="H11" s="2" t="inlineStr">
        <is>
          <t>情侣热门</t>
        </is>
      </c>
      <c r="I11" s="3" t="n">
        <v>9.4</v>
      </c>
      <c r="J11" s="3" t="n">
        <v>8</v>
      </c>
      <c r="K11" s="3" t="n">
        <v>6.6</v>
      </c>
      <c r="L11" s="3" t="n">
        <v>9.6</v>
      </c>
      <c r="M11" s="3" t="n">
        <v>8.800000000000001</v>
      </c>
      <c r="N11" s="3" t="n">
        <v>7.8</v>
      </c>
      <c r="O11" s="3" t="n">
        <v>7.4</v>
      </c>
      <c r="P11" s="4" t="inlineStr">
        <is>
          <t>2天</t>
        </is>
      </c>
      <c r="Q11" s="3" t="n">
        <v>2300</v>
      </c>
      <c r="R11" s="3" t="n">
        <v>7</v>
      </c>
      <c r="S11" s="3" t="n">
        <v>8.1</v>
      </c>
      <c r="T11" s="4" t="inlineStr">
        <is>
          <t>4-6月, 9-10月</t>
        </is>
      </c>
      <c r="U11" s="3" t="n">
        <v>9.4</v>
      </c>
      <c r="V11" s="3" t="n">
        <v>7.6</v>
      </c>
      <c r="W11" s="3" t="n">
        <v>8.1</v>
      </c>
      <c r="X11" s="5">
        <f>IF(COUNTA(I11:O11,R11:S11,U11:W11)&lt;12,"",ROUND(I11*$B$2+J11*$B$3+K11*$B$4+L11*$B$5+M11*$B$6+N11*$B$7+O11*$B$8+R11*$B$9+S11*$B$10+U11*$B$11+V11*$B$12+W11*$B$13,2))</f>
        <v/>
      </c>
      <c r="Y11" s="4" t="inlineStr">
        <is>
          <t>官方旅游局/手动维护</t>
        </is>
      </c>
      <c r="Z11" s="4" t="inlineStr">
        <is>
          <t>4-12岁</t>
        </is>
      </c>
    </row>
    <row r="12">
      <c r="A12" s="2" t="inlineStr">
        <is>
          <t>西亚</t>
        </is>
      </c>
      <c r="B12" s="2" t="inlineStr">
        <is>
          <t>土耳其高加索</t>
        </is>
      </c>
      <c r="C12" s="2" t="inlineStr">
        <is>
          <t>土耳其</t>
        </is>
      </c>
      <c r="D12" s="2" t="inlineStr">
        <is>
          <t>否</t>
        </is>
      </c>
      <c r="E12" s="2" t="inlineStr">
        <is>
          <t>伊斯坦布尔</t>
        </is>
      </c>
      <c r="F12" s="2" t="inlineStr">
        <is>
          <t>历史半岛+圣索菲亚周边</t>
        </is>
      </c>
      <c r="G12" s="2" t="inlineStr">
        <is>
          <t>文化城市</t>
        </is>
      </c>
      <c r="H12" s="2" t="inlineStr">
        <is>
          <t>世界级城市遗产</t>
        </is>
      </c>
      <c r="I12" s="3" t="n">
        <v>9.300000000000001</v>
      </c>
      <c r="J12" s="3" t="n">
        <v>7.8</v>
      </c>
      <c r="K12" s="3" t="n">
        <v>7</v>
      </c>
      <c r="L12" s="3" t="n">
        <v>9.199999999999999</v>
      </c>
      <c r="M12" s="3" t="n">
        <v>9.1</v>
      </c>
      <c r="N12" s="3" t="n">
        <v>7.2</v>
      </c>
      <c r="O12" s="3" t="n">
        <v>7.1</v>
      </c>
      <c r="P12" s="4" t="inlineStr">
        <is>
          <t>2天</t>
        </is>
      </c>
      <c r="Q12" s="3" t="n">
        <v>1800</v>
      </c>
      <c r="R12" s="3" t="n">
        <v>9</v>
      </c>
      <c r="S12" s="3" t="n">
        <v>8</v>
      </c>
      <c r="T12" s="4" t="inlineStr">
        <is>
          <t>4-6月, 9-11月</t>
        </is>
      </c>
      <c r="U12" s="3" t="n">
        <v>9.6</v>
      </c>
      <c r="V12" s="3" t="n">
        <v>8.800000000000001</v>
      </c>
      <c r="W12" s="3" t="n">
        <v>8.5</v>
      </c>
      <c r="X12" s="5">
        <f>IF(COUNTA(I12:O12,R12:S12,U12:W12)&lt;12,"",ROUND(I12*$B$2+J12*$B$3+K12*$B$4+L12*$B$5+M12*$B$6+N12*$B$7+O12*$B$8+R12*$B$9+S12*$B$10+U12*$B$11+V12*$B$12+W12*$B$13,2))</f>
        <v/>
      </c>
      <c r="Y12" s="4" t="inlineStr">
        <is>
          <t>官方旅游局/手动维护</t>
        </is>
      </c>
      <c r="Z12" s="4" t="inlineStr">
        <is>
          <t>6-15岁</t>
        </is>
      </c>
    </row>
    <row r="13">
      <c r="A13" s="2" t="inlineStr">
        <is>
          <t>西亚</t>
        </is>
      </c>
      <c r="B13" s="2" t="inlineStr">
        <is>
          <t>土耳其高加索</t>
        </is>
      </c>
      <c r="C13" s="2" t="inlineStr">
        <is>
          <t>格鲁吉亚</t>
        </is>
      </c>
      <c r="D13" s="2" t="inlineStr">
        <is>
          <t>互免/免签</t>
        </is>
      </c>
      <c r="E13" s="2" t="inlineStr">
        <is>
          <t>第比利斯/卡兹别克</t>
        </is>
      </c>
      <c r="F13" s="2" t="inlineStr">
        <is>
          <t>卡兹别吉圣三一教堂+高加索山区</t>
        </is>
      </c>
      <c r="G13" s="2" t="inlineStr">
        <is>
          <t>自然+文化</t>
        </is>
      </c>
      <c r="H13" s="2" t="inlineStr">
        <is>
          <t>小众出片</t>
        </is>
      </c>
      <c r="I13" s="3" t="n">
        <v>9</v>
      </c>
      <c r="J13" s="3" t="n">
        <v>6.8</v>
      </c>
      <c r="K13" s="3" t="n">
        <v>6</v>
      </c>
      <c r="L13" s="3" t="n">
        <v>9</v>
      </c>
      <c r="M13" s="3" t="n">
        <v>8.4</v>
      </c>
      <c r="N13" s="3" t="n">
        <v>8</v>
      </c>
      <c r="O13" s="3" t="n">
        <v>7.9</v>
      </c>
      <c r="P13" s="4" t="inlineStr">
        <is>
          <t>1-2天</t>
        </is>
      </c>
      <c r="Q13" s="3" t="n">
        <v>1500</v>
      </c>
      <c r="R13" s="3" t="n">
        <v>6.5</v>
      </c>
      <c r="S13" s="3" t="n">
        <v>7.8</v>
      </c>
      <c r="T13" s="4" t="inlineStr">
        <is>
          <t>5-10月</t>
        </is>
      </c>
      <c r="U13" s="3" t="n">
        <v>8.9</v>
      </c>
      <c r="V13" s="3" t="n">
        <v>6.6</v>
      </c>
      <c r="W13" s="3" t="n">
        <v>8.9</v>
      </c>
      <c r="X13" s="5">
        <f>IF(COUNTA(I13:O13,R13:S13,U13:W13)&lt;12,"",ROUND(I13*$B$2+J13*$B$3+K13*$B$4+L13*$B$5+M13*$B$6+N13*$B$7+O13*$B$8+R13*$B$9+S13*$B$10+U13*$B$11+V13*$B$12+W13*$B$13,2))</f>
        <v/>
      </c>
      <c r="Y13" s="4" t="inlineStr">
        <is>
          <t>官方旅游局/手动维护</t>
        </is>
      </c>
      <c r="Z13" s="4" t="inlineStr">
        <is>
          <t>8岁+</t>
        </is>
      </c>
    </row>
    <row r="14">
      <c r="A14" s="2" t="inlineStr">
        <is>
          <t>西亚</t>
        </is>
      </c>
      <c r="B14" s="2" t="inlineStr">
        <is>
          <t>土耳其高加索</t>
        </is>
      </c>
      <c r="C14" s="2" t="inlineStr">
        <is>
          <t>阿塞拜疆</t>
        </is>
      </c>
      <c r="D14" s="2" t="inlineStr">
        <is>
          <t>互免/免签</t>
        </is>
      </c>
      <c r="E14" s="2" t="inlineStr">
        <is>
          <t>巴库</t>
        </is>
      </c>
      <c r="F14" s="2" t="inlineStr">
        <is>
          <t>老城+火焰塔+里海滨海区</t>
        </is>
      </c>
      <c r="G14" s="2" t="inlineStr">
        <is>
          <t>城市文化</t>
        </is>
      </c>
      <c r="H14" s="2" t="inlineStr">
        <is>
          <t>城市度假</t>
        </is>
      </c>
      <c r="I14" s="3" t="n">
        <v>8.699999999999999</v>
      </c>
      <c r="J14" s="3" t="n">
        <v>7.2</v>
      </c>
      <c r="K14" s="3" t="n">
        <v>7</v>
      </c>
      <c r="L14" s="3" t="n">
        <v>8.800000000000001</v>
      </c>
      <c r="M14" s="3" t="n">
        <v>8.4</v>
      </c>
      <c r="N14" s="3" t="n">
        <v>7.7</v>
      </c>
      <c r="O14" s="3" t="n">
        <v>7.4</v>
      </c>
      <c r="P14" s="4" t="inlineStr">
        <is>
          <t>1-2天</t>
        </is>
      </c>
      <c r="Q14" s="3" t="n">
        <v>1600</v>
      </c>
      <c r="R14" s="3" t="n">
        <v>7.8</v>
      </c>
      <c r="S14" s="3" t="n">
        <v>8</v>
      </c>
      <c r="T14" s="4" t="inlineStr">
        <is>
          <t>4-6月, 9-10月</t>
        </is>
      </c>
      <c r="U14" s="3" t="n">
        <v>8.300000000000001</v>
      </c>
      <c r="V14" s="3" t="n">
        <v>7.8</v>
      </c>
      <c r="W14" s="3" t="n">
        <v>8.300000000000001</v>
      </c>
      <c r="X14" s="5">
        <f>IF(COUNTA(I14:O14,R14:S14,U14:W14)&lt;12,"",ROUND(I14*$B$2+J14*$B$3+K14*$B$4+L14*$B$5+M14*$B$6+N14*$B$7+O14*$B$8+R14*$B$9+S14*$B$10+U14*$B$11+V14*$B$12+W14*$B$13,2))</f>
        <v/>
      </c>
      <c r="Y14" s="4" t="inlineStr">
        <is>
          <t>官方旅游局/手动维护</t>
        </is>
      </c>
      <c r="Z14" s="4" t="inlineStr">
        <is>
          <t>6-15岁</t>
        </is>
      </c>
    </row>
    <row r="15">
      <c r="A15" s="2" t="inlineStr">
        <is>
          <t>中亚</t>
        </is>
      </c>
      <c r="B15" s="2" t="inlineStr">
        <is>
          <t>中亚五国</t>
        </is>
      </c>
      <c r="C15" s="2" t="inlineStr">
        <is>
          <t>哈萨克斯坦</t>
        </is>
      </c>
      <c r="D15" s="2" t="inlineStr">
        <is>
          <t>否</t>
        </is>
      </c>
      <c r="E15" s="2" t="inlineStr">
        <is>
          <t>阿拉木图</t>
        </is>
      </c>
      <c r="F15" s="2" t="inlineStr">
        <is>
          <t>恰伦峡谷</t>
        </is>
      </c>
      <c r="G15" s="2" t="inlineStr">
        <is>
          <t>自然风光</t>
        </is>
      </c>
      <c r="H15" s="2" t="inlineStr">
        <is>
          <t>中亚代表自然景观</t>
        </is>
      </c>
      <c r="I15" s="3" t="n">
        <v>9</v>
      </c>
      <c r="J15" s="3" t="n">
        <v>7.2</v>
      </c>
      <c r="K15" s="3" t="n">
        <v>5.8</v>
      </c>
      <c r="L15" s="3" t="n">
        <v>8.699999999999999</v>
      </c>
      <c r="M15" s="3" t="n">
        <v>8.5</v>
      </c>
      <c r="N15" s="3" t="n">
        <v>7.8</v>
      </c>
      <c r="O15" s="3" t="n">
        <v>7</v>
      </c>
      <c r="P15" s="4" t="inlineStr">
        <is>
          <t>1天</t>
        </is>
      </c>
      <c r="Q15" s="3" t="n">
        <v>1300</v>
      </c>
      <c r="R15" s="3" t="n">
        <v>6</v>
      </c>
      <c r="S15" s="3" t="n">
        <v>7.2</v>
      </c>
      <c r="T15" s="4" t="inlineStr">
        <is>
          <t>5-10月</t>
        </is>
      </c>
      <c r="U15" s="3" t="n">
        <v>8.800000000000001</v>
      </c>
      <c r="V15" s="3" t="n">
        <v>5.9</v>
      </c>
      <c r="W15" s="3" t="n">
        <v>8.6</v>
      </c>
      <c r="X15" s="5">
        <f>IF(COUNTA(I15:O15,R15:S15,U15:W15)&lt;12,"",ROUND(I15*$B$2+J15*$B$3+K15*$B$4+L15*$B$5+M15*$B$6+N15*$B$7+O15*$B$8+R15*$B$9+S15*$B$10+U15*$B$11+V15*$B$12+W15*$B$13,2))</f>
        <v/>
      </c>
      <c r="Y15" s="4" t="inlineStr">
        <is>
          <t>官方旅游局/手动维护</t>
        </is>
      </c>
      <c r="Z15" s="4" t="inlineStr">
        <is>
          <t>8岁+</t>
        </is>
      </c>
    </row>
    <row r="16">
      <c r="A16" s="2" t="inlineStr">
        <is>
          <t>中亚</t>
        </is>
      </c>
      <c r="B16" s="2" t="inlineStr">
        <is>
          <t>中亚五国</t>
        </is>
      </c>
      <c r="C16" s="2" t="inlineStr">
        <is>
          <t>哈萨克斯坦</t>
        </is>
      </c>
      <c r="D16" s="2" t="inlineStr">
        <is>
          <t>否</t>
        </is>
      </c>
      <c r="E16" s="2" t="inlineStr">
        <is>
          <t>突厥斯坦</t>
        </is>
      </c>
      <c r="F16" s="2" t="inlineStr">
        <is>
          <t>亚萨维陵墓</t>
        </is>
      </c>
      <c r="G16" s="2" t="inlineStr">
        <is>
          <t>文化遗产</t>
        </is>
      </c>
      <c r="H16" s="2" t="inlineStr">
        <is>
          <t>丝路文化</t>
        </is>
      </c>
      <c r="I16" s="3" t="n">
        <v>8.6</v>
      </c>
      <c r="J16" s="3" t="n">
        <v>6</v>
      </c>
      <c r="K16" s="3" t="n">
        <v>6.8</v>
      </c>
      <c r="L16" s="3" t="n">
        <v>8</v>
      </c>
      <c r="M16" s="3" t="n">
        <v>7.8</v>
      </c>
      <c r="N16" s="3" t="n">
        <v>7.8</v>
      </c>
      <c r="O16" s="3" t="n">
        <v>7</v>
      </c>
      <c r="P16" s="4" t="inlineStr">
        <is>
          <t>0.5天</t>
        </is>
      </c>
      <c r="Q16" s="3" t="n">
        <v>900</v>
      </c>
      <c r="R16" s="3" t="n">
        <v>6.8</v>
      </c>
      <c r="S16" s="3" t="n">
        <v>7.4</v>
      </c>
      <c r="T16" s="4" t="inlineStr">
        <is>
          <t>4-6月, 9-10月</t>
        </is>
      </c>
      <c r="U16" s="3" t="n">
        <v>8.800000000000001</v>
      </c>
      <c r="V16" s="3" t="n">
        <v>6.4</v>
      </c>
      <c r="W16" s="3" t="n">
        <v>8.800000000000001</v>
      </c>
      <c r="X16" s="5">
        <f>IF(COUNTA(I16:O16,R16:S16,U16:W16)&lt;12,"",ROUND(I16*$B$2+J16*$B$3+K16*$B$4+L16*$B$5+M16*$B$6+N16*$B$7+O16*$B$8+R16*$B$9+S16*$B$10+U16*$B$11+V16*$B$12+W16*$B$13,2))</f>
        <v/>
      </c>
      <c r="Y16" s="4" t="inlineStr">
        <is>
          <t>官方旅游局/手动维护</t>
        </is>
      </c>
      <c r="Z16" s="4" t="inlineStr">
        <is>
          <t>8岁+</t>
        </is>
      </c>
    </row>
    <row r="17">
      <c r="A17" s="2" t="inlineStr">
        <is>
          <t>中亚</t>
        </is>
      </c>
      <c r="B17" s="2" t="inlineStr">
        <is>
          <t>中亚五国</t>
        </is>
      </c>
      <c r="C17" s="2" t="inlineStr">
        <is>
          <t>乌兹别克斯坦</t>
        </is>
      </c>
      <c r="D17" s="2" t="inlineStr">
        <is>
          <t>否</t>
        </is>
      </c>
      <c r="E17" s="2" t="inlineStr">
        <is>
          <t>撒马尔罕</t>
        </is>
      </c>
      <c r="F17" s="2" t="inlineStr">
        <is>
          <t>列吉斯坦广场</t>
        </is>
      </c>
      <c r="G17" s="2" t="inlineStr">
        <is>
          <t>文化遗产</t>
        </is>
      </c>
      <c r="H17" s="2" t="inlineStr">
        <is>
          <t>丝路顶级</t>
        </is>
      </c>
      <c r="I17" s="3" t="n">
        <v>9.5</v>
      </c>
      <c r="J17" s="3" t="n">
        <v>7</v>
      </c>
      <c r="K17" s="3" t="n">
        <v>7.1</v>
      </c>
      <c r="L17" s="3" t="n">
        <v>9.199999999999999</v>
      </c>
      <c r="M17" s="3" t="n">
        <v>8.6</v>
      </c>
      <c r="N17" s="3" t="n">
        <v>7.9</v>
      </c>
      <c r="O17" s="3" t="n">
        <v>7.4</v>
      </c>
      <c r="P17" s="4" t="inlineStr">
        <is>
          <t>1天</t>
        </is>
      </c>
      <c r="Q17" s="3" t="n">
        <v>1200</v>
      </c>
      <c r="R17" s="3" t="n">
        <v>7</v>
      </c>
      <c r="S17" s="3" t="n">
        <v>8</v>
      </c>
      <c r="T17" s="4" t="inlineStr">
        <is>
          <t>4-6月, 9-10月</t>
        </is>
      </c>
      <c r="U17" s="3" t="n">
        <v>9.800000000000001</v>
      </c>
      <c r="V17" s="3" t="n">
        <v>7</v>
      </c>
      <c r="W17" s="3" t="n">
        <v>9</v>
      </c>
      <c r="X17" s="5">
        <f>IF(COUNTA(I17:O17,R17:S17,U17:W17)&lt;12,"",ROUND(I17*$B$2+J17*$B$3+K17*$B$4+L17*$B$5+M17*$B$6+N17*$B$7+O17*$B$8+R17*$B$9+S17*$B$10+U17*$B$11+V17*$B$12+W17*$B$13,2))</f>
        <v/>
      </c>
      <c r="Y17" s="4" t="inlineStr">
        <is>
          <t>官方旅游局/手动维护</t>
        </is>
      </c>
      <c r="Z17" s="4" t="inlineStr">
        <is>
          <t>6-15岁</t>
        </is>
      </c>
    </row>
    <row r="18">
      <c r="A18" s="2" t="inlineStr">
        <is>
          <t>中亚</t>
        </is>
      </c>
      <c r="B18" s="2" t="inlineStr">
        <is>
          <t>中亚五国</t>
        </is>
      </c>
      <c r="C18" s="2" t="inlineStr">
        <is>
          <t>乌兹别克斯坦</t>
        </is>
      </c>
      <c r="D18" s="2" t="inlineStr">
        <is>
          <t>否</t>
        </is>
      </c>
      <c r="E18" s="2" t="inlineStr">
        <is>
          <t>希瓦</t>
        </is>
      </c>
      <c r="F18" s="2" t="inlineStr">
        <is>
          <t>伊钦卡拉古城</t>
        </is>
      </c>
      <c r="G18" s="2" t="inlineStr">
        <is>
          <t>文化遗产</t>
        </is>
      </c>
      <c r="H18" s="2" t="inlineStr">
        <is>
          <t>沉浸式古城</t>
        </is>
      </c>
      <c r="I18" s="3" t="n">
        <v>9.300000000000001</v>
      </c>
      <c r="J18" s="3" t="n">
        <v>6.7</v>
      </c>
      <c r="K18" s="3" t="n">
        <v>6.8</v>
      </c>
      <c r="L18" s="3" t="n">
        <v>9.1</v>
      </c>
      <c r="M18" s="3" t="n">
        <v>8.699999999999999</v>
      </c>
      <c r="N18" s="3" t="n">
        <v>7.9</v>
      </c>
      <c r="O18" s="3" t="n">
        <v>7.3</v>
      </c>
      <c r="P18" s="4" t="inlineStr">
        <is>
          <t>1天</t>
        </is>
      </c>
      <c r="Q18" s="3" t="n">
        <v>1100</v>
      </c>
      <c r="R18" s="3" t="n">
        <v>6.2</v>
      </c>
      <c r="S18" s="3" t="n">
        <v>7.8</v>
      </c>
      <c r="T18" s="4" t="inlineStr">
        <is>
          <t>4-6月, 9-10月</t>
        </is>
      </c>
      <c r="U18" s="3" t="n">
        <v>9.5</v>
      </c>
      <c r="V18" s="3" t="n">
        <v>6.5</v>
      </c>
      <c r="W18" s="3" t="n">
        <v>9.1</v>
      </c>
      <c r="X18" s="5">
        <f>IF(COUNTA(I18:O18,R18:S18,U18:W18)&lt;12,"",ROUND(I18*$B$2+J18*$B$3+K18*$B$4+L18*$B$5+M18*$B$6+N18*$B$7+O18*$B$8+R18*$B$9+S18*$B$10+U18*$B$11+V18*$B$12+W18*$B$13,2))</f>
        <v/>
      </c>
      <c r="Y18" s="4" t="inlineStr">
        <is>
          <t>官方旅游局/手动维护</t>
        </is>
      </c>
      <c r="Z18" s="4" t="inlineStr">
        <is>
          <t>8岁+</t>
        </is>
      </c>
    </row>
    <row r="19">
      <c r="A19" s="2" t="inlineStr">
        <is>
          <t>中亚</t>
        </is>
      </c>
      <c r="B19" s="2" t="inlineStr">
        <is>
          <t>中亚五国</t>
        </is>
      </c>
      <c r="C19" s="2" t="inlineStr">
        <is>
          <t>吉尔吉斯斯坦</t>
        </is>
      </c>
      <c r="D19" s="2" t="inlineStr">
        <is>
          <t>否</t>
        </is>
      </c>
      <c r="E19" s="2" t="inlineStr">
        <is>
          <t>伊塞克湖</t>
        </is>
      </c>
      <c r="F19" s="2" t="inlineStr">
        <is>
          <t>伊塞克湖</t>
        </is>
      </c>
      <c r="G19" s="2" t="inlineStr">
        <is>
          <t>自然风光</t>
        </is>
      </c>
      <c r="H19" s="2" t="inlineStr">
        <is>
          <t>夏季避暑</t>
        </is>
      </c>
      <c r="I19" s="3" t="n">
        <v>8.800000000000001</v>
      </c>
      <c r="J19" s="3" t="n">
        <v>7.8</v>
      </c>
      <c r="K19" s="3" t="n">
        <v>6.3</v>
      </c>
      <c r="L19" s="3" t="n">
        <v>8.5</v>
      </c>
      <c r="M19" s="3" t="n">
        <v>8.199999999999999</v>
      </c>
      <c r="N19" s="3" t="n">
        <v>7.7</v>
      </c>
      <c r="O19" s="3" t="n">
        <v>6.8</v>
      </c>
      <c r="P19" s="4" t="inlineStr">
        <is>
          <t>1-2天</t>
        </is>
      </c>
      <c r="Q19" s="3" t="n">
        <v>1000</v>
      </c>
      <c r="R19" s="3" t="n">
        <v>5.8</v>
      </c>
      <c r="S19" s="3" t="n">
        <v>6.9</v>
      </c>
      <c r="T19" s="4" t="inlineStr">
        <is>
          <t>6-9月</t>
        </is>
      </c>
      <c r="U19" s="3" t="n">
        <v>8.199999999999999</v>
      </c>
      <c r="V19" s="3" t="n">
        <v>5.6</v>
      </c>
      <c r="W19" s="3" t="n">
        <v>9</v>
      </c>
      <c r="X19" s="5">
        <f>IF(COUNTA(I19:O19,R19:S19,U19:W19)&lt;12,"",ROUND(I19*$B$2+J19*$B$3+K19*$B$4+L19*$B$5+M19*$B$6+N19*$B$7+O19*$B$8+R19*$B$9+S19*$B$10+U19*$B$11+V19*$B$12+W19*$B$13,2))</f>
        <v/>
      </c>
      <c r="Y19" s="4" t="inlineStr">
        <is>
          <t>官方旅游局/手动维护</t>
        </is>
      </c>
      <c r="Z19" s="4" t="inlineStr">
        <is>
          <t>5-12岁</t>
        </is>
      </c>
    </row>
    <row r="20">
      <c r="A20" s="2" t="inlineStr">
        <is>
          <t>中亚</t>
        </is>
      </c>
      <c r="B20" s="2" t="inlineStr">
        <is>
          <t>中亚五国</t>
        </is>
      </c>
      <c r="C20" s="2" t="inlineStr">
        <is>
          <t>吉尔吉斯斯坦</t>
        </is>
      </c>
      <c r="D20" s="2" t="inlineStr">
        <is>
          <t>否</t>
        </is>
      </c>
      <c r="E20" s="2" t="inlineStr">
        <is>
          <t>卡拉科尔</t>
        </is>
      </c>
      <c r="F20" s="2" t="inlineStr">
        <is>
          <t>阿拉库尔徒步区</t>
        </is>
      </c>
      <c r="G20" s="2" t="inlineStr">
        <is>
          <t>自然徒步</t>
        </is>
      </c>
      <c r="H20" s="2" t="inlineStr">
        <is>
          <t>一人游/户外向</t>
        </is>
      </c>
      <c r="I20" s="3" t="n">
        <v>8.9</v>
      </c>
      <c r="J20" s="3" t="n">
        <v>4.5</v>
      </c>
      <c r="K20" s="3" t="n">
        <v>3.5</v>
      </c>
      <c r="L20" s="3" t="n">
        <v>8</v>
      </c>
      <c r="M20" s="3" t="n">
        <v>9.1</v>
      </c>
      <c r="N20" s="3" t="n">
        <v>7</v>
      </c>
      <c r="O20" s="3" t="n">
        <v>6.2</v>
      </c>
      <c r="P20" s="4" t="inlineStr">
        <is>
          <t>2-3天</t>
        </is>
      </c>
      <c r="Q20" s="3" t="n">
        <v>900</v>
      </c>
      <c r="R20" s="3" t="n">
        <v>4.6</v>
      </c>
      <c r="S20" s="3" t="n">
        <v>5.8</v>
      </c>
      <c r="T20" s="4" t="inlineStr">
        <is>
          <t>7-9月</t>
        </is>
      </c>
      <c r="U20" s="3" t="n">
        <v>9</v>
      </c>
      <c r="V20" s="3" t="n">
        <v>4.2</v>
      </c>
      <c r="W20" s="3" t="n">
        <v>9.199999999999999</v>
      </c>
      <c r="X20" s="5">
        <f>IF(COUNTA(I20:O20,R20:S20,U20:W20)&lt;12,"",ROUND(I20*$B$2+J20*$B$3+K20*$B$4+L20*$B$5+M20*$B$6+N20*$B$7+O20*$B$8+R20*$B$9+S20*$B$10+U20*$B$11+V20*$B$12+W20*$B$13,2))</f>
        <v/>
      </c>
      <c r="Y20" s="4" t="inlineStr">
        <is>
          <t>官方旅游局/手动维护</t>
        </is>
      </c>
      <c r="Z20" s="4" t="inlineStr">
        <is>
          <t>10岁+</t>
        </is>
      </c>
    </row>
    <row r="21">
      <c r="A21" s="2" t="inlineStr">
        <is>
          <t>中亚</t>
        </is>
      </c>
      <c r="B21" s="2" t="inlineStr">
        <is>
          <t>中亚五国</t>
        </is>
      </c>
      <c r="C21" s="2" t="inlineStr">
        <is>
          <t>塔吉克斯坦</t>
        </is>
      </c>
      <c r="D21" s="2" t="inlineStr">
        <is>
          <t>否</t>
        </is>
      </c>
      <c r="E21" s="2" t="inlineStr">
        <is>
          <t>彭吉肯特</t>
        </is>
      </c>
      <c r="F21" s="2" t="inlineStr">
        <is>
          <t>伊斯坎德尔湖</t>
        </is>
      </c>
      <c r="G21" s="2" t="inlineStr">
        <is>
          <t>自然风光</t>
        </is>
      </c>
      <c r="H21" s="2" t="inlineStr">
        <is>
          <t>中亚自然小众</t>
        </is>
      </c>
      <c r="I21" s="3" t="n">
        <v>8.5</v>
      </c>
      <c r="J21" s="3" t="n">
        <v>6</v>
      </c>
      <c r="K21" s="3" t="n">
        <v>4.8</v>
      </c>
      <c r="L21" s="3" t="n">
        <v>8.199999999999999</v>
      </c>
      <c r="M21" s="3" t="n">
        <v>8</v>
      </c>
      <c r="N21" s="3" t="n">
        <v>6.6</v>
      </c>
      <c r="O21" s="3" t="n">
        <v>5.8</v>
      </c>
      <c r="P21" s="4" t="inlineStr">
        <is>
          <t>1天</t>
        </is>
      </c>
      <c r="Q21" s="3" t="n">
        <v>900</v>
      </c>
      <c r="R21" s="3" t="n">
        <v>4.5</v>
      </c>
      <c r="S21" s="3" t="n">
        <v>6.2</v>
      </c>
      <c r="T21" s="4" t="inlineStr">
        <is>
          <t>6-9月</t>
        </is>
      </c>
      <c r="U21" s="3" t="n">
        <v>8</v>
      </c>
      <c r="V21" s="3" t="n">
        <v>4.5</v>
      </c>
      <c r="W21" s="3" t="n">
        <v>8.800000000000001</v>
      </c>
      <c r="X21" s="5">
        <f>IF(COUNTA(I21:O21,R21:S21,U21:W21)&lt;12,"",ROUND(I21*$B$2+J21*$B$3+K21*$B$4+L21*$B$5+M21*$B$6+N21*$B$7+O21*$B$8+R21*$B$9+S21*$B$10+U21*$B$11+V21*$B$12+W21*$B$13,2))</f>
        <v/>
      </c>
      <c r="Y21" s="4" t="inlineStr">
        <is>
          <t>官方旅游局/手动维护</t>
        </is>
      </c>
      <c r="Z21" s="4" t="inlineStr">
        <is>
          <t>8岁+</t>
        </is>
      </c>
    </row>
    <row r="22">
      <c r="A22" s="2" t="inlineStr">
        <is>
          <t>东欧</t>
        </is>
      </c>
      <c r="B22" s="2" t="inlineStr">
        <is>
          <t>中欧/东欧</t>
        </is>
      </c>
      <c r="C22" s="2" t="inlineStr">
        <is>
          <t>匈牙利</t>
        </is>
      </c>
      <c r="D22" s="2" t="inlineStr">
        <is>
          <t>是</t>
        </is>
      </c>
      <c r="E22" s="2" t="inlineStr">
        <is>
          <t>布达佩斯</t>
        </is>
      </c>
      <c r="F22" s="2" t="inlineStr">
        <is>
          <t>多瑙河两岸+城堡山</t>
        </is>
      </c>
      <c r="G22" s="2" t="inlineStr">
        <is>
          <t>城市文化</t>
        </is>
      </c>
      <c r="H22" s="2" t="inlineStr">
        <is>
          <t>世界级城市遗产</t>
        </is>
      </c>
      <c r="I22" s="3" t="n">
        <v>9.4</v>
      </c>
      <c r="J22" s="3" t="n">
        <v>8.1</v>
      </c>
      <c r="K22" s="3" t="n">
        <v>8</v>
      </c>
      <c r="L22" s="3" t="n">
        <v>9.5</v>
      </c>
      <c r="M22" s="3" t="n">
        <v>9.1</v>
      </c>
      <c r="N22" s="3" t="n">
        <v>8.5</v>
      </c>
      <c r="O22" s="3" t="n">
        <v>8.199999999999999</v>
      </c>
      <c r="P22" s="4" t="inlineStr">
        <is>
          <t>1-2天</t>
        </is>
      </c>
      <c r="Q22" s="3" t="n">
        <v>1500</v>
      </c>
      <c r="R22" s="3" t="n">
        <v>9</v>
      </c>
      <c r="S22" s="3" t="n">
        <v>8.4</v>
      </c>
      <c r="T22" s="4" t="inlineStr">
        <is>
          <t>4-6月, 9-10月</t>
        </is>
      </c>
      <c r="U22" s="3" t="n">
        <v>9.5</v>
      </c>
      <c r="V22" s="3" t="n">
        <v>8.699999999999999</v>
      </c>
      <c r="W22" s="3" t="n">
        <v>8.800000000000001</v>
      </c>
      <c r="X22" s="5">
        <f>IF(COUNTA(I22:O22,R22:S22,U22:W22)&lt;12,"",ROUND(I22*$B$2+J22*$B$3+K22*$B$4+L22*$B$5+M22*$B$6+N22*$B$7+O22*$B$8+R22*$B$9+S22*$B$10+U22*$B$11+V22*$B$12+W22*$B$13,2))</f>
        <v/>
      </c>
      <c r="Y22" s="4" t="inlineStr">
        <is>
          <t>官方旅游局/手动维护</t>
        </is>
      </c>
      <c r="Z22" s="4" t="inlineStr">
        <is>
          <t>5-15岁</t>
        </is>
      </c>
    </row>
    <row r="23">
      <c r="A23" s="2" t="inlineStr">
        <is>
          <t>东欧</t>
        </is>
      </c>
      <c r="B23" s="2" t="inlineStr">
        <is>
          <t>中欧/东欧</t>
        </is>
      </c>
      <c r="C23" s="2" t="inlineStr">
        <is>
          <t>波兰</t>
        </is>
      </c>
      <c r="D23" s="2" t="inlineStr">
        <is>
          <t>是</t>
        </is>
      </c>
      <c r="E23" s="2" t="inlineStr">
        <is>
          <t>克拉科夫</t>
        </is>
      </c>
      <c r="F23" s="2" t="inlineStr">
        <is>
          <t>老城+瓦维尔城堡</t>
        </is>
      </c>
      <c r="G23" s="2" t="inlineStr">
        <is>
          <t>文化城市</t>
        </is>
      </c>
      <c r="H23" s="2" t="inlineStr">
        <is>
          <t>高性价比古都</t>
        </is>
      </c>
      <c r="I23" s="3" t="n">
        <v>9.199999999999999</v>
      </c>
      <c r="J23" s="3" t="n">
        <v>7.8</v>
      </c>
      <c r="K23" s="3" t="n">
        <v>7.8</v>
      </c>
      <c r="L23" s="3" t="n">
        <v>9</v>
      </c>
      <c r="M23" s="3" t="n">
        <v>8.9</v>
      </c>
      <c r="N23" s="3" t="n">
        <v>8.300000000000001</v>
      </c>
      <c r="O23" s="3" t="n">
        <v>8</v>
      </c>
      <c r="P23" s="4" t="inlineStr">
        <is>
          <t>1天</t>
        </is>
      </c>
      <c r="Q23" s="3" t="n">
        <v>1200</v>
      </c>
      <c r="R23" s="3" t="n">
        <v>8.199999999999999</v>
      </c>
      <c r="S23" s="3" t="n">
        <v>8.199999999999999</v>
      </c>
      <c r="T23" s="4" t="inlineStr">
        <is>
          <t>5-6月, 9月</t>
        </is>
      </c>
      <c r="U23" s="3" t="n">
        <v>9</v>
      </c>
      <c r="V23" s="3" t="n">
        <v>8.1</v>
      </c>
      <c r="W23" s="3" t="n">
        <v>9.1</v>
      </c>
      <c r="X23" s="5">
        <f>IF(COUNTA(I23:O23,R23:S23,U23:W23)&lt;12,"",ROUND(I23*$B$2+J23*$B$3+K23*$B$4+L23*$B$5+M23*$B$6+N23*$B$7+O23*$B$8+R23*$B$9+S23*$B$10+U23*$B$11+V23*$B$12+W23*$B$13,2))</f>
        <v/>
      </c>
      <c r="Y23" s="4" t="inlineStr">
        <is>
          <t>官方旅游局/手动维护</t>
        </is>
      </c>
      <c r="Z23" s="4" t="inlineStr">
        <is>
          <t>6-15岁</t>
        </is>
      </c>
    </row>
    <row r="24">
      <c r="A24" s="2" t="inlineStr">
        <is>
          <t>东欧</t>
        </is>
      </c>
      <c r="B24" s="2" t="inlineStr">
        <is>
          <t>中欧/东欧</t>
        </is>
      </c>
      <c r="C24" s="2" t="inlineStr">
        <is>
          <t>捷克</t>
        </is>
      </c>
      <c r="D24" s="2" t="inlineStr">
        <is>
          <t>否</t>
        </is>
      </c>
      <c r="E24" s="2" t="inlineStr">
        <is>
          <t>布拉格</t>
        </is>
      </c>
      <c r="F24" s="2" t="inlineStr">
        <is>
          <t>布拉格历史中心</t>
        </is>
      </c>
      <c r="G24" s="2" t="inlineStr">
        <is>
          <t>文化城市</t>
        </is>
      </c>
      <c r="H24" s="2" t="inlineStr">
        <is>
          <t>经典欧洲古城</t>
        </is>
      </c>
      <c r="I24" s="3" t="n">
        <v>9.5</v>
      </c>
      <c r="J24" s="3" t="n">
        <v>8</v>
      </c>
      <c r="K24" s="3" t="n">
        <v>7.6</v>
      </c>
      <c r="L24" s="3" t="n">
        <v>9.6</v>
      </c>
      <c r="M24" s="3" t="n">
        <v>9.199999999999999</v>
      </c>
      <c r="N24" s="3" t="n">
        <v>8.199999999999999</v>
      </c>
      <c r="O24" s="3" t="n">
        <v>7.8</v>
      </c>
      <c r="P24" s="4" t="inlineStr">
        <is>
          <t>1-2天</t>
        </is>
      </c>
      <c r="Q24" s="3" t="n">
        <v>1600</v>
      </c>
      <c r="R24" s="3" t="n">
        <v>8.800000000000001</v>
      </c>
      <c r="S24" s="3" t="n">
        <v>8.300000000000001</v>
      </c>
      <c r="T24" s="4" t="inlineStr">
        <is>
          <t>4-6月, 9-10月</t>
        </is>
      </c>
      <c r="U24" s="3" t="n">
        <v>9.800000000000001</v>
      </c>
      <c r="V24" s="3" t="n">
        <v>8.5</v>
      </c>
      <c r="W24" s="3" t="n">
        <v>8.4</v>
      </c>
      <c r="X24" s="5">
        <f>IF(COUNTA(I24:O24,R24:S24,U24:W24)&lt;12,"",ROUND(I24*$B$2+J24*$B$3+K24*$B$4+L24*$B$5+M24*$B$6+N24*$B$7+O24*$B$8+R24*$B$9+S24*$B$10+U24*$B$11+V24*$B$12+W24*$B$13,2))</f>
        <v/>
      </c>
      <c r="Y24" s="4" t="inlineStr">
        <is>
          <t>官方旅游局/手动维护</t>
        </is>
      </c>
      <c r="Z24" s="4" t="inlineStr">
        <is>
          <t>5-15岁</t>
        </is>
      </c>
    </row>
    <row r="25">
      <c r="A25" s="2" t="inlineStr">
        <is>
          <t>东欧</t>
        </is>
      </c>
      <c r="B25" s="2" t="inlineStr">
        <is>
          <t>巴尔干</t>
        </is>
      </c>
      <c r="C25" s="2" t="inlineStr">
        <is>
          <t>克罗地亚</t>
        </is>
      </c>
      <c r="D25" s="2" t="inlineStr">
        <is>
          <t>是</t>
        </is>
      </c>
      <c r="E25" s="2" t="inlineStr">
        <is>
          <t>杜布罗夫尼克</t>
        </is>
      </c>
      <c r="F25" s="2" t="inlineStr">
        <is>
          <t>杜布罗夫尼克古城</t>
        </is>
      </c>
      <c r="G25" s="2" t="inlineStr">
        <is>
          <t>文化海滨</t>
        </is>
      </c>
      <c r="H25" s="2" t="inlineStr">
        <is>
          <t>海滨古城顶流</t>
        </is>
      </c>
      <c r="I25" s="3" t="n">
        <v>9.300000000000001</v>
      </c>
      <c r="J25" s="3" t="n">
        <v>7.4</v>
      </c>
      <c r="K25" s="3" t="n">
        <v>6.7</v>
      </c>
      <c r="L25" s="3" t="n">
        <v>9.5</v>
      </c>
      <c r="M25" s="3" t="n">
        <v>8.699999999999999</v>
      </c>
      <c r="N25" s="3" t="n">
        <v>8.4</v>
      </c>
      <c r="O25" s="3" t="n">
        <v>7.6</v>
      </c>
      <c r="P25" s="4" t="inlineStr">
        <is>
          <t>1天</t>
        </is>
      </c>
      <c r="Q25" s="3" t="n">
        <v>2200</v>
      </c>
      <c r="R25" s="3" t="n">
        <v>7</v>
      </c>
      <c r="S25" s="3" t="n">
        <v>7.4</v>
      </c>
      <c r="T25" s="4" t="inlineStr">
        <is>
          <t>5-6月, 9月</t>
        </is>
      </c>
      <c r="U25" s="3" t="n">
        <v>9.199999999999999</v>
      </c>
      <c r="V25" s="3" t="n">
        <v>7.8</v>
      </c>
      <c r="W25" s="3" t="n">
        <v>7.2</v>
      </c>
      <c r="X25" s="5">
        <f>IF(COUNTA(I25:O25,R25:S25,U25:W25)&lt;12,"",ROUND(I25*$B$2+J25*$B$3+K25*$B$4+L25*$B$5+M25*$B$6+N25*$B$7+O25*$B$8+R25*$B$9+S25*$B$10+U25*$B$11+V25*$B$12+W25*$B$13,2))</f>
        <v/>
      </c>
      <c r="Y25" s="4" t="inlineStr">
        <is>
          <t>官方旅游局/手动维护</t>
        </is>
      </c>
      <c r="Z25" s="4" t="inlineStr">
        <is>
          <t>6-15岁</t>
        </is>
      </c>
    </row>
    <row r="26">
      <c r="A26" s="2" t="inlineStr">
        <is>
          <t>东欧</t>
        </is>
      </c>
      <c r="B26" s="2" t="inlineStr">
        <is>
          <t>巴尔干</t>
        </is>
      </c>
      <c r="C26" s="2" t="inlineStr">
        <is>
          <t>克罗地亚</t>
        </is>
      </c>
      <c r="D26" s="2" t="inlineStr">
        <is>
          <t>是</t>
        </is>
      </c>
      <c r="E26" s="2" t="inlineStr">
        <is>
          <t>普利特维采</t>
        </is>
      </c>
      <c r="F26" s="2" t="inlineStr">
        <is>
          <t>十六湖国家公园</t>
        </is>
      </c>
      <c r="G26" s="2" t="inlineStr">
        <is>
          <t>自然风光</t>
        </is>
      </c>
      <c r="H26" s="2" t="inlineStr">
        <is>
          <t>家庭自然游</t>
        </is>
      </c>
      <c r="I26" s="3" t="n">
        <v>9.4</v>
      </c>
      <c r="J26" s="3" t="n">
        <v>8.199999999999999</v>
      </c>
      <c r="K26" s="3" t="n">
        <v>6.5</v>
      </c>
      <c r="L26" s="3" t="n">
        <v>8.800000000000001</v>
      </c>
      <c r="M26" s="3" t="n">
        <v>8.199999999999999</v>
      </c>
      <c r="N26" s="3" t="n">
        <v>8.6</v>
      </c>
      <c r="O26" s="3" t="n">
        <v>7.8</v>
      </c>
      <c r="P26" s="4" t="inlineStr">
        <is>
          <t>1天</t>
        </is>
      </c>
      <c r="Q26" s="3" t="n">
        <v>1400</v>
      </c>
      <c r="R26" s="3" t="n">
        <v>6.2</v>
      </c>
      <c r="S26" s="3" t="n">
        <v>7.6</v>
      </c>
      <c r="T26" s="4" t="inlineStr">
        <is>
          <t>5-10月</t>
        </is>
      </c>
      <c r="U26" s="3" t="n">
        <v>9</v>
      </c>
      <c r="V26" s="3" t="n">
        <v>6.5</v>
      </c>
      <c r="W26" s="3" t="n">
        <v>8.4</v>
      </c>
      <c r="X26" s="5">
        <f>IF(COUNTA(I26:O26,R26:S26,U26:W26)&lt;12,"",ROUND(I26*$B$2+J26*$B$3+K26*$B$4+L26*$B$5+M26*$B$6+N26*$B$7+O26*$B$8+R26*$B$9+S26*$B$10+U26*$B$11+V26*$B$12+W26*$B$13,2))</f>
        <v/>
      </c>
      <c r="Y26" s="4" t="inlineStr">
        <is>
          <t>官方旅游局/手动维护</t>
        </is>
      </c>
      <c r="Z26" s="4" t="inlineStr">
        <is>
          <t>5-12岁</t>
        </is>
      </c>
    </row>
    <row r="27">
      <c r="A27" s="2" t="inlineStr">
        <is>
          <t>东欧</t>
        </is>
      </c>
      <c r="B27" s="2" t="inlineStr">
        <is>
          <t>巴尔干</t>
        </is>
      </c>
      <c r="C27" s="2" t="inlineStr">
        <is>
          <t>黑山</t>
        </is>
      </c>
      <c r="D27" s="2" t="inlineStr">
        <is>
          <t>是</t>
        </is>
      </c>
      <c r="E27" s="2" t="inlineStr">
        <is>
          <t>科托尔</t>
        </is>
      </c>
      <c r="F27" s="2" t="inlineStr">
        <is>
          <t>科托尔湾古城</t>
        </is>
      </c>
      <c r="G27" s="2" t="inlineStr">
        <is>
          <t>文化海滨</t>
        </is>
      </c>
      <c r="H27" s="2" t="inlineStr">
        <is>
          <t>小而精</t>
        </is>
      </c>
      <c r="I27" s="3" t="n">
        <v>9</v>
      </c>
      <c r="J27" s="3" t="n">
        <v>7</v>
      </c>
      <c r="K27" s="3" t="n">
        <v>6.8</v>
      </c>
      <c r="L27" s="3" t="n">
        <v>9.199999999999999</v>
      </c>
      <c r="M27" s="3" t="n">
        <v>8.5</v>
      </c>
      <c r="N27" s="3" t="n">
        <v>8</v>
      </c>
      <c r="O27" s="3" t="n">
        <v>7.5</v>
      </c>
      <c r="P27" s="4" t="inlineStr">
        <is>
          <t>1天</t>
        </is>
      </c>
      <c r="Q27" s="3" t="n">
        <v>1300</v>
      </c>
      <c r="R27" s="3" t="n">
        <v>6.3</v>
      </c>
      <c r="S27" s="3" t="n">
        <v>7.9</v>
      </c>
      <c r="T27" s="4" t="inlineStr">
        <is>
          <t>5-6月, 9月</t>
        </is>
      </c>
      <c r="U27" s="3" t="n">
        <v>8.800000000000001</v>
      </c>
      <c r="V27" s="3" t="n">
        <v>6.6</v>
      </c>
      <c r="W27" s="3" t="n">
        <v>8.800000000000001</v>
      </c>
      <c r="X27" s="5">
        <f>IF(COUNTA(I27:O27,R27:S27,U27:W27)&lt;12,"",ROUND(I27*$B$2+J27*$B$3+K27*$B$4+L27*$B$5+M27*$B$6+N27*$B$7+O27*$B$8+R27*$B$9+S27*$B$10+U27*$B$11+V27*$B$12+W27*$B$13,2))</f>
        <v/>
      </c>
      <c r="Y27" s="4" t="inlineStr">
        <is>
          <t>官方旅游局/手动维护</t>
        </is>
      </c>
      <c r="Z27" s="4" t="inlineStr">
        <is>
          <t>6-15岁</t>
        </is>
      </c>
    </row>
    <row r="28">
      <c r="A28" s="2" t="inlineStr">
        <is>
          <t>东欧</t>
        </is>
      </c>
      <c r="B28" s="2" t="inlineStr">
        <is>
          <t>巴尔干</t>
        </is>
      </c>
      <c r="C28" s="2" t="inlineStr">
        <is>
          <t>斯洛文尼亚</t>
        </is>
      </c>
      <c r="D28" s="2" t="inlineStr">
        <is>
          <t>是</t>
        </is>
      </c>
      <c r="E28" s="2" t="inlineStr">
        <is>
          <t>布莱德</t>
        </is>
      </c>
      <c r="F28" s="2" t="inlineStr">
        <is>
          <t>布莱德湖</t>
        </is>
      </c>
      <c r="G28" s="2" t="inlineStr">
        <is>
          <t>自然+度假</t>
        </is>
      </c>
      <c r="H28" s="2" t="inlineStr">
        <is>
          <t>轻松型景区</t>
        </is>
      </c>
      <c r="I28" s="3" t="n">
        <v>8.9</v>
      </c>
      <c r="J28" s="3" t="n">
        <v>8.5</v>
      </c>
      <c r="K28" s="3" t="n">
        <v>7.8</v>
      </c>
      <c r="L28" s="3" t="n">
        <v>9</v>
      </c>
      <c r="M28" s="3" t="n">
        <v>8.199999999999999</v>
      </c>
      <c r="N28" s="3" t="n">
        <v>8.699999999999999</v>
      </c>
      <c r="O28" s="3" t="n">
        <v>8.1</v>
      </c>
      <c r="P28" s="4" t="inlineStr">
        <is>
          <t>0.5-1天</t>
        </is>
      </c>
      <c r="Q28" s="3" t="n">
        <v>1300</v>
      </c>
      <c r="R28" s="3" t="n">
        <v>7.5</v>
      </c>
      <c r="S28" s="3" t="n">
        <v>8.1</v>
      </c>
      <c r="T28" s="4" t="inlineStr">
        <is>
          <t>5-10月</t>
        </is>
      </c>
      <c r="U28" s="3" t="n">
        <v>8.4</v>
      </c>
      <c r="V28" s="3" t="n">
        <v>7.2</v>
      </c>
      <c r="W28" s="3" t="n">
        <v>8.300000000000001</v>
      </c>
      <c r="X28" s="5">
        <f>IF(COUNTA(I28:O28,R28:S28,U28:W28)&lt;12,"",ROUND(I28*$B$2+J28*$B$3+K28*$B$4+L28*$B$5+M28*$B$6+N28*$B$7+O28*$B$8+R28*$B$9+S28*$B$10+U28*$B$11+V28*$B$12+W28*$B$13,2))</f>
        <v/>
      </c>
      <c r="Y28" s="4" t="inlineStr">
        <is>
          <t>官方旅游局/手动维护</t>
        </is>
      </c>
      <c r="Z28" s="4" t="inlineStr">
        <is>
          <t>4-12岁</t>
        </is>
      </c>
    </row>
    <row r="29">
      <c r="A29" s="2" t="inlineStr">
        <is>
          <t>东欧</t>
        </is>
      </c>
      <c r="B29" s="2" t="inlineStr">
        <is>
          <t>巴尔干</t>
        </is>
      </c>
      <c r="C29" s="2" t="inlineStr">
        <is>
          <t>罗马尼亚</t>
        </is>
      </c>
      <c r="D29" s="2" t="inlineStr">
        <is>
          <t>是</t>
        </is>
      </c>
      <c r="E29" s="2" t="inlineStr">
        <is>
          <t>布拉索夫/锡纳亚</t>
        </is>
      </c>
      <c r="F29" s="2" t="inlineStr">
        <is>
          <t>布兰城堡+佩莱什城堡</t>
        </is>
      </c>
      <c r="G29" s="2" t="inlineStr">
        <is>
          <t>文化城堡</t>
        </is>
      </c>
      <c r="H29" s="2" t="inlineStr">
        <is>
          <t>亲子/情侣均可</t>
        </is>
      </c>
      <c r="I29" s="3" t="n">
        <v>8.800000000000001</v>
      </c>
      <c r="J29" s="3" t="n">
        <v>7.8</v>
      </c>
      <c r="K29" s="3" t="n">
        <v>6.9</v>
      </c>
      <c r="L29" s="3" t="n">
        <v>8.9</v>
      </c>
      <c r="M29" s="3" t="n">
        <v>8.1</v>
      </c>
      <c r="N29" s="3" t="n">
        <v>7.6</v>
      </c>
      <c r="O29" s="3" t="n">
        <v>7.1</v>
      </c>
      <c r="P29" s="4" t="inlineStr">
        <is>
          <t>1天</t>
        </is>
      </c>
      <c r="Q29" s="3" t="n">
        <v>1100</v>
      </c>
      <c r="R29" s="3" t="n">
        <v>7</v>
      </c>
      <c r="S29" s="3" t="n">
        <v>7.9</v>
      </c>
      <c r="T29" s="4" t="inlineStr">
        <is>
          <t>5-10月</t>
        </is>
      </c>
      <c r="U29" s="3" t="n">
        <v>8.5</v>
      </c>
      <c r="V29" s="3" t="n">
        <v>6.9</v>
      </c>
      <c r="W29" s="3" t="n">
        <v>8.9</v>
      </c>
      <c r="X29" s="5">
        <f>IF(COUNTA(I29:O29,R29:S29,U29:W29)&lt;12,"",ROUND(I29*$B$2+J29*$B$3+K29*$B$4+L29*$B$5+M29*$B$6+N29*$B$7+O29*$B$8+R29*$B$9+S29*$B$10+U29*$B$11+V29*$B$12+W29*$B$13,2))</f>
        <v/>
      </c>
      <c r="Y29" s="4" t="inlineStr">
        <is>
          <t>官方旅游局/手动维护</t>
        </is>
      </c>
      <c r="Z29" s="4" t="inlineStr">
        <is>
          <t>6-15岁</t>
        </is>
      </c>
    </row>
    <row r="30">
      <c r="A30" s="2" t="inlineStr">
        <is>
          <t>东欧</t>
        </is>
      </c>
      <c r="B30" s="2" t="inlineStr">
        <is>
          <t>巴尔干</t>
        </is>
      </c>
      <c r="C30" s="2" t="inlineStr">
        <is>
          <t>保加利亚</t>
        </is>
      </c>
      <c r="D30" s="2" t="inlineStr">
        <is>
          <t>是</t>
        </is>
      </c>
      <c r="E30" s="2" t="inlineStr">
        <is>
          <t>索菲亚/里拉</t>
        </is>
      </c>
      <c r="F30" s="2" t="inlineStr">
        <is>
          <t>里拉修道院</t>
        </is>
      </c>
      <c r="G30" s="2" t="inlineStr">
        <is>
          <t>文化遗产</t>
        </is>
      </c>
      <c r="H30" s="2" t="inlineStr">
        <is>
          <t>高性价比文化点</t>
        </is>
      </c>
      <c r="I30" s="3" t="n">
        <v>8.6</v>
      </c>
      <c r="J30" s="3" t="n">
        <v>6.4</v>
      </c>
      <c r="K30" s="3" t="n">
        <v>7</v>
      </c>
      <c r="L30" s="3" t="n">
        <v>8.300000000000001</v>
      </c>
      <c r="M30" s="3" t="n">
        <v>7.8</v>
      </c>
      <c r="N30" s="3" t="n">
        <v>7.8</v>
      </c>
      <c r="O30" s="3" t="n">
        <v>7</v>
      </c>
      <c r="P30" s="4" t="inlineStr">
        <is>
          <t>0.5天</t>
        </is>
      </c>
      <c r="Q30" s="3" t="n">
        <v>800</v>
      </c>
      <c r="R30" s="3" t="n">
        <v>6.5</v>
      </c>
      <c r="S30" s="3" t="n">
        <v>7.6</v>
      </c>
      <c r="T30" s="4" t="inlineStr">
        <is>
          <t>5-10月</t>
        </is>
      </c>
      <c r="U30" s="3" t="n">
        <v>8.199999999999999</v>
      </c>
      <c r="V30" s="3" t="n">
        <v>6</v>
      </c>
      <c r="W30" s="3" t="n">
        <v>9.1</v>
      </c>
      <c r="X30" s="5">
        <f>IF(COUNTA(I30:O30,R30:S30,U30:W30)&lt;12,"",ROUND(I30*$B$2+J30*$B$3+K30*$B$4+L30*$B$5+M30*$B$6+N30*$B$7+O30*$B$8+R30*$B$9+S30*$B$10+U30*$B$11+V30*$B$12+W30*$B$13,2))</f>
        <v/>
      </c>
      <c r="Y30" s="4" t="inlineStr">
        <is>
          <t>官方旅游局/手动维护</t>
        </is>
      </c>
      <c r="Z30" s="4" t="inlineStr">
        <is>
          <t>8岁+</t>
        </is>
      </c>
    </row>
    <row r="31">
      <c r="A31" s="2" t="inlineStr">
        <is>
          <t>东欧</t>
        </is>
      </c>
      <c r="B31" s="2" t="inlineStr">
        <is>
          <t>巴尔干</t>
        </is>
      </c>
      <c r="C31" s="2" t="inlineStr">
        <is>
          <t>塞尔维亚</t>
        </is>
      </c>
      <c r="D31" s="2" t="inlineStr">
        <is>
          <t>互免/免签</t>
        </is>
      </c>
      <c r="E31" s="2" t="inlineStr">
        <is>
          <t>贝尔格莱德</t>
        </is>
      </c>
      <c r="F31" s="2" t="inlineStr">
        <is>
          <t>贝城+多瑙/萨瓦河城区</t>
        </is>
      </c>
      <c r="G31" s="2" t="inlineStr">
        <is>
          <t>城市文化</t>
        </is>
      </c>
      <c r="H31" s="2" t="inlineStr">
        <is>
          <t>城市休闲</t>
        </is>
      </c>
      <c r="I31" s="3" t="n">
        <v>8.5</v>
      </c>
      <c r="J31" s="3" t="n">
        <v>7.5</v>
      </c>
      <c r="K31" s="3" t="n">
        <v>7.2</v>
      </c>
      <c r="L31" s="3" t="n">
        <v>8.4</v>
      </c>
      <c r="M31" s="3" t="n">
        <v>8.6</v>
      </c>
      <c r="N31" s="3" t="n">
        <v>7.5</v>
      </c>
      <c r="O31" s="3" t="n">
        <v>7.8</v>
      </c>
      <c r="P31" s="4" t="inlineStr">
        <is>
          <t>1-2天</t>
        </is>
      </c>
      <c r="Q31" s="3" t="n">
        <v>1000</v>
      </c>
      <c r="R31" s="3" t="n">
        <v>7.6</v>
      </c>
      <c r="S31" s="3" t="n">
        <v>8</v>
      </c>
      <c r="T31" s="4" t="inlineStr">
        <is>
          <t>4-6月, 9-10月</t>
        </is>
      </c>
      <c r="U31" s="3" t="n">
        <v>8</v>
      </c>
      <c r="V31" s="3" t="n">
        <v>7.5</v>
      </c>
      <c r="W31" s="3" t="n">
        <v>9</v>
      </c>
      <c r="X31" s="5">
        <f>IF(COUNTA(I31:O31,R31:S31,U31:W31)&lt;12,"",ROUND(I31*$B$2+J31*$B$3+K31*$B$4+L31*$B$5+M31*$B$6+N31*$B$7+O31*$B$8+R31*$B$9+S31*$B$10+U31*$B$11+V31*$B$12+W31*$B$13,2))</f>
        <v/>
      </c>
      <c r="Y31" s="4" t="inlineStr">
        <is>
          <t>官方旅游局/手动维护</t>
        </is>
      </c>
      <c r="Z31" s="4" t="inlineStr">
        <is>
          <t>6-15岁</t>
        </is>
      </c>
    </row>
    <row r="32">
      <c r="A32" s="2" t="inlineStr">
        <is>
          <t>东欧</t>
        </is>
      </c>
      <c r="B32" s="2" t="inlineStr">
        <is>
          <t>巴尔干</t>
        </is>
      </c>
      <c r="C32" s="2" t="inlineStr">
        <is>
          <t>波黑</t>
        </is>
      </c>
      <c r="D32" s="2" t="inlineStr">
        <is>
          <t>互免/免签</t>
        </is>
      </c>
      <c r="E32" s="2" t="inlineStr">
        <is>
          <t>莫斯塔尔</t>
        </is>
      </c>
      <c r="F32" s="2" t="inlineStr">
        <is>
          <t>老桥古城</t>
        </is>
      </c>
      <c r="G32" s="2" t="inlineStr">
        <is>
          <t>文化遗产</t>
        </is>
      </c>
      <c r="H32" s="2" t="inlineStr">
        <is>
          <t>小众高辨识度</t>
        </is>
      </c>
      <c r="I32" s="3" t="n">
        <v>8.9</v>
      </c>
      <c r="J32" s="3" t="n">
        <v>6.2</v>
      </c>
      <c r="K32" s="3" t="n">
        <v>5.9</v>
      </c>
      <c r="L32" s="3" t="n">
        <v>9</v>
      </c>
      <c r="M32" s="3" t="n">
        <v>8.300000000000001</v>
      </c>
      <c r="N32" s="3" t="n">
        <v>7.4</v>
      </c>
      <c r="O32" s="3" t="n">
        <v>7</v>
      </c>
      <c r="P32" s="4" t="inlineStr">
        <is>
          <t>0.5天</t>
        </is>
      </c>
      <c r="Q32" s="3" t="n">
        <v>800</v>
      </c>
      <c r="R32" s="3" t="n">
        <v>5.8</v>
      </c>
      <c r="S32" s="3" t="n">
        <v>7.7</v>
      </c>
      <c r="T32" s="4" t="inlineStr">
        <is>
          <t>4-6月, 9月</t>
        </is>
      </c>
      <c r="U32" s="3" t="n">
        <v>8.6</v>
      </c>
      <c r="V32" s="3" t="n">
        <v>5.5</v>
      </c>
      <c r="W32" s="3" t="n">
        <v>9</v>
      </c>
      <c r="X32" s="5">
        <f>IF(COUNTA(I32:O32,R32:S32,U32:W32)&lt;12,"",ROUND(I32*$B$2+J32*$B$3+K32*$B$4+L32*$B$5+M32*$B$6+N32*$B$7+O32*$B$8+R32*$B$9+S32*$B$10+U32*$B$11+V32*$B$12+W32*$B$13,2))</f>
        <v/>
      </c>
      <c r="Y32" s="4" t="inlineStr">
        <is>
          <t>官方旅游局/手动维护</t>
        </is>
      </c>
      <c r="Z32" s="4" t="inlineStr">
        <is>
          <t>8岁+</t>
        </is>
      </c>
    </row>
    <row r="33">
      <c r="A33" s="2" t="inlineStr">
        <is>
          <t>东欧</t>
        </is>
      </c>
      <c r="B33" s="2" t="inlineStr">
        <is>
          <t>巴尔干</t>
        </is>
      </c>
      <c r="C33" s="2" t="inlineStr">
        <is>
          <t>阿尔巴尼亚</t>
        </is>
      </c>
      <c r="D33" s="2" t="inlineStr">
        <is>
          <t>互免/免签</t>
        </is>
      </c>
      <c r="E33" s="2" t="inlineStr">
        <is>
          <t>培拉特</t>
        </is>
      </c>
      <c r="F33" s="2" t="inlineStr">
        <is>
          <t>培拉特古城</t>
        </is>
      </c>
      <c r="G33" s="2" t="inlineStr">
        <is>
          <t>文化遗产</t>
        </is>
      </c>
      <c r="H33" s="2" t="inlineStr">
        <is>
          <t>非常规欧洲线</t>
        </is>
      </c>
      <c r="I33" s="3" t="n">
        <v>8.699999999999999</v>
      </c>
      <c r="J33" s="3" t="n">
        <v>6</v>
      </c>
      <c r="K33" s="3" t="n">
        <v>6.1</v>
      </c>
      <c r="L33" s="3" t="n">
        <v>8.6</v>
      </c>
      <c r="M33" s="3" t="n">
        <v>8.199999999999999</v>
      </c>
      <c r="N33" s="3" t="n">
        <v>7.3</v>
      </c>
      <c r="O33" s="3" t="n">
        <v>6.8</v>
      </c>
      <c r="P33" s="4" t="inlineStr">
        <is>
          <t>0.5天</t>
        </is>
      </c>
      <c r="Q33" s="3" t="n">
        <v>700</v>
      </c>
      <c r="R33" s="3" t="n">
        <v>5.5</v>
      </c>
      <c r="S33" s="3" t="n">
        <v>7.8</v>
      </c>
      <c r="T33" s="4" t="inlineStr">
        <is>
          <t>5-10月</t>
        </is>
      </c>
      <c r="U33" s="3" t="n">
        <v>8</v>
      </c>
      <c r="V33" s="3" t="n">
        <v>5.4</v>
      </c>
      <c r="W33" s="3" t="n">
        <v>9.199999999999999</v>
      </c>
      <c r="X33" s="5">
        <f>IF(COUNTA(I33:O33,R33:S33,U33:W33)&lt;12,"",ROUND(I33*$B$2+J33*$B$3+K33*$B$4+L33*$B$5+M33*$B$6+N33*$B$7+O33*$B$8+R33*$B$9+S33*$B$10+U33*$B$11+V33*$B$12+W33*$B$13,2))</f>
        <v/>
      </c>
      <c r="Y33" s="4" t="inlineStr">
        <is>
          <t>官方旅游局/手动维护</t>
        </is>
      </c>
      <c r="Z33" s="4" t="inlineStr">
        <is>
          <t>8岁+</t>
        </is>
      </c>
    </row>
    <row r="34">
      <c r="A34" s="2" t="inlineStr">
        <is>
          <t>东南亚</t>
        </is>
      </c>
      <c r="B34" s="2" t="inlineStr">
        <is>
          <t>新马泰</t>
        </is>
      </c>
      <c r="C34" s="2" t="inlineStr">
        <is>
          <t>新加坡</t>
        </is>
      </c>
      <c r="D34" s="2" t="inlineStr">
        <is>
          <t>否</t>
        </is>
      </c>
      <c r="E34" s="2" t="inlineStr">
        <is>
          <t>新加坡</t>
        </is>
      </c>
      <c r="F34" s="2" t="inlineStr">
        <is>
          <t>滨海湾花园+滨海湾</t>
        </is>
      </c>
      <c r="G34" s="2" t="inlineStr">
        <is>
          <t>城市景观/亲子</t>
        </is>
      </c>
      <c r="H34" s="2" t="inlineStr">
        <is>
          <t>极强亲子型</t>
        </is>
      </c>
      <c r="I34" s="3" t="n">
        <v>9.1</v>
      </c>
      <c r="J34" s="3" t="n">
        <v>9.4</v>
      </c>
      <c r="K34" s="3" t="n">
        <v>8.9</v>
      </c>
      <c r="L34" s="3" t="n">
        <v>8.800000000000001</v>
      </c>
      <c r="M34" s="3" t="n">
        <v>9</v>
      </c>
      <c r="N34" s="3" t="n">
        <v>9.5</v>
      </c>
      <c r="O34" s="3" t="n">
        <v>9.300000000000001</v>
      </c>
      <c r="P34" s="4" t="inlineStr">
        <is>
          <t>1天</t>
        </is>
      </c>
      <c r="Q34" s="3" t="n">
        <v>2600</v>
      </c>
      <c r="R34" s="3" t="n">
        <v>10</v>
      </c>
      <c r="S34" s="3" t="n">
        <v>8.800000000000001</v>
      </c>
      <c r="T34" s="4" t="inlineStr">
        <is>
          <t>全年; 2-4月相对舒适</t>
        </is>
      </c>
      <c r="U34" s="3" t="n">
        <v>8.800000000000001</v>
      </c>
      <c r="V34" s="3" t="n">
        <v>9.800000000000001</v>
      </c>
      <c r="W34" s="3" t="n">
        <v>6.8</v>
      </c>
      <c r="X34" s="5">
        <f>IF(COUNTA(I34:O34,R34:S34,U34:W34)&lt;12,"",ROUND(I34*$B$2+J34*$B$3+K34*$B$4+L34*$B$5+M34*$B$6+N34*$B$7+O34*$B$8+R34*$B$9+S34*$B$10+U34*$B$11+V34*$B$12+W34*$B$13,2))</f>
        <v/>
      </c>
      <c r="Y34" s="4" t="inlineStr">
        <is>
          <t>官方旅游局/手动维护</t>
        </is>
      </c>
      <c r="Z34" s="4" t="inlineStr">
        <is>
          <t>3-12岁</t>
        </is>
      </c>
    </row>
    <row r="35">
      <c r="A35" s="2" t="inlineStr">
        <is>
          <t>东南亚</t>
        </is>
      </c>
      <c r="B35" s="2" t="inlineStr">
        <is>
          <t>新马泰</t>
        </is>
      </c>
      <c r="C35" s="2" t="inlineStr">
        <is>
          <t>马来西亚</t>
        </is>
      </c>
      <c r="D35" s="2" t="inlineStr">
        <is>
          <t>否</t>
        </is>
      </c>
      <c r="E35" s="2" t="inlineStr">
        <is>
          <t>沙巴</t>
        </is>
      </c>
      <c r="F35" s="2" t="inlineStr">
        <is>
          <t>京那巴鲁公园</t>
        </is>
      </c>
      <c r="G35" s="2" t="inlineStr">
        <is>
          <t>自然生态</t>
        </is>
      </c>
      <c r="H35" s="2" t="inlineStr">
        <is>
          <t>高山雨林</t>
        </is>
      </c>
      <c r="I35" s="3" t="n">
        <v>9</v>
      </c>
      <c r="J35" s="3" t="n">
        <v>7</v>
      </c>
      <c r="K35" s="3" t="n">
        <v>5.8</v>
      </c>
      <c r="L35" s="3" t="n">
        <v>8.800000000000001</v>
      </c>
      <c r="M35" s="3" t="n">
        <v>8.5</v>
      </c>
      <c r="N35" s="3" t="n">
        <v>8.199999999999999</v>
      </c>
      <c r="O35" s="3" t="n">
        <v>8</v>
      </c>
      <c r="P35" s="4" t="inlineStr">
        <is>
          <t>1-2天</t>
        </is>
      </c>
      <c r="Q35" s="3" t="n">
        <v>1700</v>
      </c>
      <c r="R35" s="3" t="n">
        <v>6.5</v>
      </c>
      <c r="S35" s="3" t="n">
        <v>7.3</v>
      </c>
      <c r="T35" s="4" t="inlineStr">
        <is>
          <t>2-4月</t>
        </is>
      </c>
      <c r="U35" s="3" t="n">
        <v>9.199999999999999</v>
      </c>
      <c r="V35" s="3" t="n">
        <v>6.2</v>
      </c>
      <c r="W35" s="3" t="n">
        <v>8.5</v>
      </c>
      <c r="X35" s="5">
        <f>IF(COUNTA(I35:O35,R35:S35,U35:W35)&lt;12,"",ROUND(I35*$B$2+J35*$B$3+K35*$B$4+L35*$B$5+M35*$B$6+N35*$B$7+O35*$B$8+R35*$B$9+S35*$B$10+U35*$B$11+V35*$B$12+W35*$B$13,2))</f>
        <v/>
      </c>
      <c r="Y35" s="4" t="inlineStr">
        <is>
          <t>官方旅游局/手动维护</t>
        </is>
      </c>
      <c r="Z35" s="4" t="inlineStr">
        <is>
          <t>8岁+</t>
        </is>
      </c>
    </row>
    <row r="36">
      <c r="A36" s="2" t="inlineStr">
        <is>
          <t>东南亚</t>
        </is>
      </c>
      <c r="B36" s="2" t="inlineStr">
        <is>
          <t>新马泰</t>
        </is>
      </c>
      <c r="C36" s="2" t="inlineStr">
        <is>
          <t>马来西亚</t>
        </is>
      </c>
      <c r="D36" s="2" t="inlineStr">
        <is>
          <t>否</t>
        </is>
      </c>
      <c r="E36" s="2" t="inlineStr">
        <is>
          <t>槟城</t>
        </is>
      </c>
      <c r="F36" s="2" t="inlineStr">
        <is>
          <t>乔治市</t>
        </is>
      </c>
      <c r="G36" s="2" t="inlineStr">
        <is>
          <t>文化城市</t>
        </is>
      </c>
      <c r="H36" s="2" t="inlineStr">
        <is>
          <t>美食+街区</t>
        </is>
      </c>
      <c r="I36" s="3" t="n">
        <v>8.800000000000001</v>
      </c>
      <c r="J36" s="3" t="n">
        <v>8</v>
      </c>
      <c r="K36" s="3" t="n">
        <v>7.8</v>
      </c>
      <c r="L36" s="3" t="n">
        <v>8.699999999999999</v>
      </c>
      <c r="M36" s="3" t="n">
        <v>8.6</v>
      </c>
      <c r="N36" s="3" t="n">
        <v>8.199999999999999</v>
      </c>
      <c r="O36" s="3" t="n">
        <v>8.4</v>
      </c>
      <c r="P36" s="4" t="inlineStr">
        <is>
          <t>1-2天</t>
        </is>
      </c>
      <c r="Q36" s="3" t="n">
        <v>1200</v>
      </c>
      <c r="R36" s="3" t="n">
        <v>8</v>
      </c>
      <c r="S36" s="3" t="n">
        <v>8.300000000000001</v>
      </c>
      <c r="T36" s="4" t="inlineStr">
        <is>
          <t>12月-次年3月</t>
        </is>
      </c>
      <c r="U36" s="3" t="n">
        <v>8.4</v>
      </c>
      <c r="V36" s="3" t="n">
        <v>8.1</v>
      </c>
      <c r="W36" s="3" t="n">
        <v>9</v>
      </c>
      <c r="X36" s="5">
        <f>IF(COUNTA(I36:O36,R36:S36,U36:W36)&lt;12,"",ROUND(I36*$B$2+J36*$B$3+K36*$B$4+L36*$B$5+M36*$B$6+N36*$B$7+O36*$B$8+R36*$B$9+S36*$B$10+U36*$B$11+V36*$B$12+W36*$B$13,2))</f>
        <v/>
      </c>
      <c r="Y36" s="4" t="inlineStr">
        <is>
          <t>官方旅游局/手动维护</t>
        </is>
      </c>
      <c r="Z36" s="4" t="inlineStr">
        <is>
          <t>5-15岁</t>
        </is>
      </c>
    </row>
    <row r="37">
      <c r="A37" s="2" t="inlineStr">
        <is>
          <t>东南亚</t>
        </is>
      </c>
      <c r="B37" s="2" t="inlineStr">
        <is>
          <t>新马泰</t>
        </is>
      </c>
      <c r="C37" s="2" t="inlineStr">
        <is>
          <t>泰国</t>
        </is>
      </c>
      <c r="D37" s="2" t="inlineStr">
        <is>
          <t>否</t>
        </is>
      </c>
      <c r="E37" s="2" t="inlineStr">
        <is>
          <t>清迈</t>
        </is>
      </c>
      <c r="F37" s="2" t="inlineStr">
        <is>
          <t>古城+素贴山</t>
        </is>
      </c>
      <c r="G37" s="2" t="inlineStr">
        <is>
          <t>文化城市</t>
        </is>
      </c>
      <c r="H37" s="2" t="inlineStr">
        <is>
          <t>休闲万能型</t>
        </is>
      </c>
      <c r="I37" s="3" t="n">
        <v>9</v>
      </c>
      <c r="J37" s="3" t="n">
        <v>8.4</v>
      </c>
      <c r="K37" s="3" t="n">
        <v>8</v>
      </c>
      <c r="L37" s="3" t="n">
        <v>9.1</v>
      </c>
      <c r="M37" s="3" t="n">
        <v>8.9</v>
      </c>
      <c r="N37" s="3" t="n">
        <v>8</v>
      </c>
      <c r="O37" s="3" t="n">
        <v>8.6</v>
      </c>
      <c r="P37" s="4" t="inlineStr">
        <is>
          <t>1-2天</t>
        </is>
      </c>
      <c r="Q37" s="3" t="n">
        <v>1000</v>
      </c>
      <c r="R37" s="3" t="n">
        <v>8</v>
      </c>
      <c r="S37" s="3" t="n">
        <v>8.199999999999999</v>
      </c>
      <c r="T37" s="4" t="inlineStr">
        <is>
          <t>11月-次年2月</t>
        </is>
      </c>
      <c r="U37" s="3" t="n">
        <v>8.5</v>
      </c>
      <c r="V37" s="3" t="n">
        <v>8.199999999999999</v>
      </c>
      <c r="W37" s="3" t="n">
        <v>9.4</v>
      </c>
      <c r="X37" s="5">
        <f>IF(COUNTA(I37:O37,R37:S37,U37:W37)&lt;12,"",ROUND(I37*$B$2+J37*$B$3+K37*$B$4+L37*$B$5+M37*$B$6+N37*$B$7+O37*$B$8+R37*$B$9+S37*$B$10+U37*$B$11+V37*$B$12+W37*$B$13,2))</f>
        <v/>
      </c>
      <c r="Y37" s="4" t="inlineStr">
        <is>
          <t>官方旅游局/手动维护</t>
        </is>
      </c>
      <c r="Z37" s="4" t="inlineStr">
        <is>
          <t>5-15岁</t>
        </is>
      </c>
    </row>
    <row r="38">
      <c r="A38" s="2" t="inlineStr">
        <is>
          <t>东南亚</t>
        </is>
      </c>
      <c r="B38" s="2" t="inlineStr">
        <is>
          <t>新马泰</t>
        </is>
      </c>
      <c r="C38" s="2" t="inlineStr">
        <is>
          <t>泰国</t>
        </is>
      </c>
      <c r="D38" s="2" t="inlineStr">
        <is>
          <t>否</t>
        </is>
      </c>
      <c r="E38" s="2" t="inlineStr">
        <is>
          <t>普吉/攀牙</t>
        </is>
      </c>
      <c r="F38" s="2" t="inlineStr">
        <is>
          <t>攀牙湾</t>
        </is>
      </c>
      <c r="G38" s="2" t="inlineStr">
        <is>
          <t>海岛风光</t>
        </is>
      </c>
      <c r="H38" s="2" t="inlineStr">
        <is>
          <t>度假型</t>
        </is>
      </c>
      <c r="I38" s="3" t="n">
        <v>8.800000000000001</v>
      </c>
      <c r="J38" s="3" t="n">
        <v>8.199999999999999</v>
      </c>
      <c r="K38" s="3" t="n">
        <v>6.6</v>
      </c>
      <c r="L38" s="3" t="n">
        <v>9.199999999999999</v>
      </c>
      <c r="M38" s="3" t="n">
        <v>8.199999999999999</v>
      </c>
      <c r="N38" s="3" t="n">
        <v>7.8</v>
      </c>
      <c r="O38" s="3" t="n">
        <v>8</v>
      </c>
      <c r="P38" s="4" t="inlineStr">
        <is>
          <t>1天</t>
        </is>
      </c>
      <c r="Q38" s="3" t="n">
        <v>1500</v>
      </c>
      <c r="R38" s="3" t="n">
        <v>7.2</v>
      </c>
      <c r="S38" s="3" t="n">
        <v>7.5</v>
      </c>
      <c r="T38" s="4" t="inlineStr">
        <is>
          <t>11月-次年4月</t>
        </is>
      </c>
      <c r="U38" s="3" t="n">
        <v>8.800000000000001</v>
      </c>
      <c r="V38" s="3" t="n">
        <v>7</v>
      </c>
      <c r="W38" s="3" t="n">
        <v>8.4</v>
      </c>
      <c r="X38" s="5">
        <f>IF(COUNTA(I38:O38,R38:S38,U38:W38)&lt;12,"",ROUND(I38*$B$2+J38*$B$3+K38*$B$4+L38*$B$5+M38*$B$6+N38*$B$7+O38*$B$8+R38*$B$9+S38*$B$10+U38*$B$11+V38*$B$12+W38*$B$13,2))</f>
        <v/>
      </c>
      <c r="Y38" s="4" t="inlineStr">
        <is>
          <t>官方旅游局/手动维护</t>
        </is>
      </c>
      <c r="Z38" s="4" t="inlineStr">
        <is>
          <t>5-12岁</t>
        </is>
      </c>
    </row>
    <row r="39">
      <c r="A39" s="2" t="inlineStr">
        <is>
          <t>东南亚</t>
        </is>
      </c>
      <c r="B39" s="2" t="inlineStr">
        <is>
          <t>越柬老缅</t>
        </is>
      </c>
      <c r="C39" s="2" t="inlineStr">
        <is>
          <t>越南</t>
        </is>
      </c>
      <c r="D39" s="2" t="inlineStr">
        <is>
          <t>否</t>
        </is>
      </c>
      <c r="E39" s="2" t="inlineStr">
        <is>
          <t>广宁</t>
        </is>
      </c>
      <c r="F39" s="2" t="inlineStr">
        <is>
          <t>下龙湾</t>
        </is>
      </c>
      <c r="G39" s="2" t="inlineStr">
        <is>
          <t>自然风光</t>
        </is>
      </c>
      <c r="H39" s="2" t="inlineStr">
        <is>
          <t>东南亚代表自然</t>
        </is>
      </c>
      <c r="I39" s="3" t="n">
        <v>9.199999999999999</v>
      </c>
      <c r="J39" s="3" t="n">
        <v>8</v>
      </c>
      <c r="K39" s="3" t="n">
        <v>6.8</v>
      </c>
      <c r="L39" s="3" t="n">
        <v>9</v>
      </c>
      <c r="M39" s="3" t="n">
        <v>8.5</v>
      </c>
      <c r="N39" s="3" t="n">
        <v>7.8</v>
      </c>
      <c r="O39" s="3" t="n">
        <v>7.6</v>
      </c>
      <c r="P39" s="4" t="inlineStr">
        <is>
          <t>1天</t>
        </is>
      </c>
      <c r="Q39" s="3" t="n">
        <v>1100</v>
      </c>
      <c r="R39" s="3" t="n">
        <v>7.5</v>
      </c>
      <c r="S39" s="3" t="n">
        <v>7.6</v>
      </c>
      <c r="T39" s="4" t="inlineStr">
        <is>
          <t>10月-次年4月</t>
        </is>
      </c>
      <c r="U39" s="3" t="n">
        <v>9.199999999999999</v>
      </c>
      <c r="V39" s="3" t="n">
        <v>6.9</v>
      </c>
      <c r="W39" s="3" t="n">
        <v>8.9</v>
      </c>
      <c r="X39" s="5">
        <f>IF(COUNTA(I39:O39,R39:S39,U39:W39)&lt;12,"",ROUND(I39*$B$2+J39*$B$3+K39*$B$4+L39*$B$5+M39*$B$6+N39*$B$7+O39*$B$8+R39*$B$9+S39*$B$10+U39*$B$11+V39*$B$12+W39*$B$13,2))</f>
        <v/>
      </c>
      <c r="Y39" s="4" t="inlineStr">
        <is>
          <t>官方旅游局/手动维护</t>
        </is>
      </c>
      <c r="Z39" s="4" t="inlineStr">
        <is>
          <t>4-12岁</t>
        </is>
      </c>
    </row>
    <row r="40">
      <c r="A40" s="2" t="inlineStr">
        <is>
          <t>东南亚</t>
        </is>
      </c>
      <c r="B40" s="2" t="inlineStr">
        <is>
          <t>越柬老缅</t>
        </is>
      </c>
      <c r="C40" s="2" t="inlineStr">
        <is>
          <t>越南</t>
        </is>
      </c>
      <c r="D40" s="2" t="inlineStr">
        <is>
          <t>否</t>
        </is>
      </c>
      <c r="E40" s="2" t="inlineStr">
        <is>
          <t>宁平</t>
        </is>
      </c>
      <c r="F40" s="2" t="inlineStr">
        <is>
          <t>长安名胜群</t>
        </is>
      </c>
      <c r="G40" s="2" t="inlineStr">
        <is>
          <t>自然+文化</t>
        </is>
      </c>
      <c r="H40" s="2" t="inlineStr">
        <is>
          <t>轻松型</t>
        </is>
      </c>
      <c r="I40" s="3" t="n">
        <v>8.9</v>
      </c>
      <c r="J40" s="3" t="n">
        <v>8.199999999999999</v>
      </c>
      <c r="K40" s="3" t="n">
        <v>7</v>
      </c>
      <c r="L40" s="3" t="n">
        <v>8.800000000000001</v>
      </c>
      <c r="M40" s="3" t="n">
        <v>8.4</v>
      </c>
      <c r="N40" s="3" t="n">
        <v>8</v>
      </c>
      <c r="O40" s="3" t="n">
        <v>7.8</v>
      </c>
      <c r="P40" s="4" t="inlineStr">
        <is>
          <t>1天</t>
        </is>
      </c>
      <c r="Q40" s="3" t="n">
        <v>900</v>
      </c>
      <c r="R40" s="3" t="n">
        <v>6.8</v>
      </c>
      <c r="S40" s="3" t="n">
        <v>8</v>
      </c>
      <c r="T40" s="4" t="inlineStr">
        <is>
          <t>10月-次年4月</t>
        </is>
      </c>
      <c r="U40" s="3" t="n">
        <v>8.6</v>
      </c>
      <c r="V40" s="3" t="n">
        <v>6.7</v>
      </c>
      <c r="W40" s="3" t="n">
        <v>9.199999999999999</v>
      </c>
      <c r="X40" s="5">
        <f>IF(COUNTA(I40:O40,R40:S40,U40:W40)&lt;12,"",ROUND(I40*$B$2+J40*$B$3+K40*$B$4+L40*$B$5+M40*$B$6+N40*$B$7+O40*$B$8+R40*$B$9+S40*$B$10+U40*$B$11+V40*$B$12+W40*$B$13,2))</f>
        <v/>
      </c>
      <c r="Y40" s="4" t="inlineStr">
        <is>
          <t>官方旅游局/手动维护</t>
        </is>
      </c>
      <c r="Z40" s="4" t="inlineStr">
        <is>
          <t>4-12岁</t>
        </is>
      </c>
    </row>
    <row r="41">
      <c r="A41" s="2" t="inlineStr">
        <is>
          <t>东南亚</t>
        </is>
      </c>
      <c r="B41" s="2" t="inlineStr">
        <is>
          <t>越柬老缅</t>
        </is>
      </c>
      <c r="C41" s="2" t="inlineStr">
        <is>
          <t>柬埔寨</t>
        </is>
      </c>
      <c r="D41" s="2" t="inlineStr">
        <is>
          <t>否</t>
        </is>
      </c>
      <c r="E41" s="2" t="inlineStr">
        <is>
          <t>暹粒</t>
        </is>
      </c>
      <c r="F41" s="2" t="inlineStr">
        <is>
          <t>吴哥窟</t>
        </is>
      </c>
      <c r="G41" s="2" t="inlineStr">
        <is>
          <t>文化遗产</t>
        </is>
      </c>
      <c r="H41" s="2" t="inlineStr">
        <is>
          <t>世界级古迹</t>
        </is>
      </c>
      <c r="I41" s="3" t="n">
        <v>9.6</v>
      </c>
      <c r="J41" s="3" t="n">
        <v>7.5</v>
      </c>
      <c r="K41" s="3" t="n">
        <v>6.2</v>
      </c>
      <c r="L41" s="3" t="n">
        <v>9.300000000000001</v>
      </c>
      <c r="M41" s="3" t="n">
        <v>8.699999999999999</v>
      </c>
      <c r="N41" s="3" t="n">
        <v>7</v>
      </c>
      <c r="O41" s="3" t="n">
        <v>6.8</v>
      </c>
      <c r="P41" s="4" t="inlineStr">
        <is>
          <t>2天</t>
        </is>
      </c>
      <c r="Q41" s="3" t="n">
        <v>1300</v>
      </c>
      <c r="R41" s="3" t="n">
        <v>6.5</v>
      </c>
      <c r="S41" s="3" t="n">
        <v>7.1</v>
      </c>
      <c r="T41" s="4" t="inlineStr">
        <is>
          <t>11月-次年2月</t>
        </is>
      </c>
      <c r="U41" s="3" t="n">
        <v>9.9</v>
      </c>
      <c r="V41" s="3" t="n">
        <v>6.4</v>
      </c>
      <c r="W41" s="3" t="n">
        <v>9</v>
      </c>
      <c r="X41" s="5">
        <f>IF(COUNTA(I41:O41,R41:S41,U41:W41)&lt;12,"",ROUND(I41*$B$2+J41*$B$3+K41*$B$4+L41*$B$5+M41*$B$6+N41*$B$7+O41*$B$8+R41*$B$9+S41*$B$10+U41*$B$11+V41*$B$12+W41*$B$13,2))</f>
        <v/>
      </c>
      <c r="Y41" s="4" t="inlineStr">
        <is>
          <t>官方旅游局/手动维护</t>
        </is>
      </c>
      <c r="Z41" s="4" t="inlineStr">
        <is>
          <t>6-15岁</t>
        </is>
      </c>
    </row>
    <row r="42">
      <c r="A42" s="2" t="inlineStr">
        <is>
          <t>东南亚</t>
        </is>
      </c>
      <c r="B42" s="2" t="inlineStr">
        <is>
          <t>越柬老缅</t>
        </is>
      </c>
      <c r="C42" s="2" t="inlineStr">
        <is>
          <t>老挝</t>
        </is>
      </c>
      <c r="D42" s="2" t="inlineStr">
        <is>
          <t>否</t>
        </is>
      </c>
      <c r="E42" s="2" t="inlineStr">
        <is>
          <t>琅勃拉邦</t>
        </is>
      </c>
      <c r="F42" s="2" t="inlineStr">
        <is>
          <t>琅勃拉邦古城</t>
        </is>
      </c>
      <c r="G42" s="2" t="inlineStr">
        <is>
          <t>文化小城</t>
        </is>
      </c>
      <c r="H42" s="2" t="inlineStr">
        <is>
          <t>慢旅行</t>
        </is>
      </c>
      <c r="I42" s="3" t="n">
        <v>8.800000000000001</v>
      </c>
      <c r="J42" s="3" t="n">
        <v>7.8</v>
      </c>
      <c r="K42" s="3" t="n">
        <v>7.4</v>
      </c>
      <c r="L42" s="3" t="n">
        <v>8.9</v>
      </c>
      <c r="M42" s="3" t="n">
        <v>8.5</v>
      </c>
      <c r="N42" s="3" t="n">
        <v>8</v>
      </c>
      <c r="O42" s="3" t="n">
        <v>7.5</v>
      </c>
      <c r="P42" s="4" t="inlineStr">
        <is>
          <t>1-2天</t>
        </is>
      </c>
      <c r="Q42" s="3" t="n">
        <v>900</v>
      </c>
      <c r="R42" s="3" t="n">
        <v>6.2</v>
      </c>
      <c r="S42" s="3" t="n">
        <v>8.1</v>
      </c>
      <c r="T42" s="4" t="inlineStr">
        <is>
          <t>11月-次年2月</t>
        </is>
      </c>
      <c r="U42" s="3" t="n">
        <v>8.4</v>
      </c>
      <c r="V42" s="3" t="n">
        <v>6.3</v>
      </c>
      <c r="W42" s="3" t="n">
        <v>9.300000000000001</v>
      </c>
      <c r="X42" s="5">
        <f>IF(COUNTA(I42:O42,R42:S42,U42:W42)&lt;12,"",ROUND(I42*$B$2+J42*$B$3+K42*$B$4+L42*$B$5+M42*$B$6+N42*$B$7+O42*$B$8+R42*$B$9+S42*$B$10+U42*$B$11+V42*$B$12+W42*$B$13,2))</f>
        <v/>
      </c>
      <c r="Y42" s="4" t="inlineStr">
        <is>
          <t>官方旅游局/手动维护</t>
        </is>
      </c>
      <c r="Z42" s="4" t="inlineStr">
        <is>
          <t>6-15岁</t>
        </is>
      </c>
    </row>
    <row r="43">
      <c r="A43" s="2" t="inlineStr">
        <is>
          <t>东南亚</t>
        </is>
      </c>
      <c r="B43" s="2" t="inlineStr">
        <is>
          <t>海岛印尼</t>
        </is>
      </c>
      <c r="C43" s="2" t="inlineStr">
        <is>
          <t>印度尼西亚</t>
        </is>
      </c>
      <c r="D43" s="2" t="inlineStr">
        <is>
          <t>否</t>
        </is>
      </c>
      <c r="E43" s="2" t="inlineStr">
        <is>
          <t>巴厘岛</t>
        </is>
      </c>
      <c r="F43" s="2" t="inlineStr">
        <is>
          <t>乌布+海神庙/南部海岸</t>
        </is>
      </c>
      <c r="G43" s="2" t="inlineStr">
        <is>
          <t>文化+度假</t>
        </is>
      </c>
      <c r="H43" s="2" t="inlineStr">
        <is>
          <t>情侣热门</t>
        </is>
      </c>
      <c r="I43" s="3" t="n">
        <v>9.1</v>
      </c>
      <c r="J43" s="3" t="n">
        <v>8.300000000000001</v>
      </c>
      <c r="K43" s="3" t="n">
        <v>7</v>
      </c>
      <c r="L43" s="3" t="n">
        <v>9.5</v>
      </c>
      <c r="M43" s="3" t="n">
        <v>8.699999999999999</v>
      </c>
      <c r="N43" s="3" t="n">
        <v>7.6</v>
      </c>
      <c r="O43" s="3" t="n">
        <v>7.5</v>
      </c>
      <c r="P43" s="4" t="inlineStr">
        <is>
          <t>2-3天</t>
        </is>
      </c>
      <c r="Q43" s="3" t="n">
        <v>1800</v>
      </c>
      <c r="R43" s="3" t="n">
        <v>7.8</v>
      </c>
      <c r="S43" s="3" t="n">
        <v>8</v>
      </c>
      <c r="T43" s="4" t="inlineStr">
        <is>
          <t>5-10月</t>
        </is>
      </c>
      <c r="U43" s="3" t="n">
        <v>8.9</v>
      </c>
      <c r="V43" s="3" t="n">
        <v>8</v>
      </c>
      <c r="W43" s="3" t="n">
        <v>8.699999999999999</v>
      </c>
      <c r="X43" s="5">
        <f>IF(COUNTA(I43:O43,R43:S43,U43:W43)&lt;12,"",ROUND(I43*$B$2+J43*$B$3+K43*$B$4+L43*$B$5+M43*$B$6+N43*$B$7+O43*$B$8+R43*$B$9+S43*$B$10+U43*$B$11+V43*$B$12+W43*$B$13,2))</f>
        <v/>
      </c>
      <c r="Y43" s="4" t="inlineStr">
        <is>
          <t>官方旅游局/手动维护</t>
        </is>
      </c>
      <c r="Z43" s="4" t="inlineStr">
        <is>
          <t>5-12岁</t>
        </is>
      </c>
    </row>
    <row r="44">
      <c r="A44" s="2" t="inlineStr">
        <is>
          <t>东南亚</t>
        </is>
      </c>
      <c r="B44" s="2" t="inlineStr">
        <is>
          <t>海岛印尼</t>
        </is>
      </c>
      <c r="C44" s="2" t="inlineStr">
        <is>
          <t>印度尼西亚</t>
        </is>
      </c>
      <c r="D44" s="2" t="inlineStr">
        <is>
          <t>否</t>
        </is>
      </c>
      <c r="E44" s="2" t="inlineStr">
        <is>
          <t>日惹</t>
        </is>
      </c>
      <c r="F44" s="2" t="inlineStr">
        <is>
          <t>婆罗浮屠</t>
        </is>
      </c>
      <c r="G44" s="2" t="inlineStr">
        <is>
          <t>文化遗产</t>
        </is>
      </c>
      <c r="H44" s="2" t="inlineStr">
        <is>
          <t>佛教遗产</t>
        </is>
      </c>
      <c r="I44" s="3" t="n">
        <v>9.1</v>
      </c>
      <c r="J44" s="3" t="n">
        <v>7.2</v>
      </c>
      <c r="K44" s="3" t="n">
        <v>6.5</v>
      </c>
      <c r="L44" s="3" t="n">
        <v>8.800000000000001</v>
      </c>
      <c r="M44" s="3" t="n">
        <v>8.199999999999999</v>
      </c>
      <c r="N44" s="3" t="n">
        <v>7.6</v>
      </c>
      <c r="O44" s="3" t="n">
        <v>7.1</v>
      </c>
      <c r="P44" s="4" t="inlineStr">
        <is>
          <t>0.5天</t>
        </is>
      </c>
      <c r="Q44" s="3" t="n">
        <v>900</v>
      </c>
      <c r="R44" s="3" t="n">
        <v>6.8</v>
      </c>
      <c r="S44" s="3" t="n">
        <v>7.7</v>
      </c>
      <c r="T44" s="4" t="inlineStr">
        <is>
          <t>5-10月</t>
        </is>
      </c>
      <c r="U44" s="3" t="n">
        <v>9.199999999999999</v>
      </c>
      <c r="V44" s="3" t="n">
        <v>6</v>
      </c>
      <c r="W44" s="3" t="n">
        <v>9.1</v>
      </c>
      <c r="X44" s="5">
        <f>IF(COUNTA(I44:O44,R44:S44,U44:W44)&lt;12,"",ROUND(I44*$B$2+J44*$B$3+K44*$B$4+L44*$B$5+M44*$B$6+N44*$B$7+O44*$B$8+R44*$B$9+S44*$B$10+U44*$B$11+V44*$B$12+W44*$B$13,2))</f>
        <v/>
      </c>
      <c r="Y44" s="4" t="inlineStr">
        <is>
          <t>官方旅游局/手动维护</t>
        </is>
      </c>
      <c r="Z44" s="4" t="inlineStr">
        <is>
          <t>6-15岁</t>
        </is>
      </c>
    </row>
    <row r="45">
      <c r="A45" s="2" t="inlineStr">
        <is>
          <t>东南亚</t>
        </is>
      </c>
      <c r="B45" s="2" t="inlineStr">
        <is>
          <t>海岛印尼</t>
        </is>
      </c>
      <c r="C45" s="2" t="inlineStr">
        <is>
          <t>印度尼西亚</t>
        </is>
      </c>
      <c r="D45" s="2" t="inlineStr">
        <is>
          <t>否</t>
        </is>
      </c>
      <c r="E45" s="2" t="inlineStr">
        <is>
          <t>科莫多</t>
        </is>
      </c>
      <c r="F45" s="2" t="inlineStr">
        <is>
          <t>科莫多国家公园</t>
        </is>
      </c>
      <c r="G45" s="2" t="inlineStr">
        <is>
          <t>自然生态</t>
        </is>
      </c>
      <c r="H45" s="2" t="inlineStr">
        <is>
          <t>稀有物种</t>
        </is>
      </c>
      <c r="I45" s="3" t="n">
        <v>9.199999999999999</v>
      </c>
      <c r="J45" s="3" t="n">
        <v>6.6</v>
      </c>
      <c r="K45" s="3" t="n">
        <v>4.5</v>
      </c>
      <c r="L45" s="3" t="n">
        <v>8.800000000000001</v>
      </c>
      <c r="M45" s="3" t="n">
        <v>8.6</v>
      </c>
      <c r="N45" s="3" t="n">
        <v>7.2</v>
      </c>
      <c r="O45" s="3" t="n">
        <v>6.2</v>
      </c>
      <c r="P45" s="4" t="inlineStr">
        <is>
          <t>1-2天</t>
        </is>
      </c>
      <c r="Q45" s="3" t="n">
        <v>2200</v>
      </c>
      <c r="R45" s="3" t="n">
        <v>5</v>
      </c>
      <c r="S45" s="3" t="n">
        <v>7</v>
      </c>
      <c r="T45" s="4" t="inlineStr">
        <is>
          <t>4-11月</t>
        </is>
      </c>
      <c r="U45" s="3" t="n">
        <v>9.6</v>
      </c>
      <c r="V45" s="3" t="n">
        <v>5.2</v>
      </c>
      <c r="W45" s="3" t="n">
        <v>7.8</v>
      </c>
      <c r="X45" s="5">
        <f>IF(COUNTA(I45:O45,R45:S45,U45:W45)&lt;12,"",ROUND(I45*$B$2+J45*$B$3+K45*$B$4+L45*$B$5+M45*$B$6+N45*$B$7+O45*$B$8+R45*$B$9+S45*$B$10+U45*$B$11+V45*$B$12+W45*$B$13,2))</f>
        <v/>
      </c>
      <c r="Y45" s="4" t="inlineStr">
        <is>
          <t>官方旅游局/手动维护</t>
        </is>
      </c>
      <c r="Z45" s="4" t="inlineStr">
        <is>
          <t>10岁+</t>
        </is>
      </c>
    </row>
    <row r="46">
      <c r="A46" s="2" t="inlineStr">
        <is>
          <t>东南亚</t>
        </is>
      </c>
      <c r="B46" s="2" t="inlineStr">
        <is>
          <t>海岛菲律宾</t>
        </is>
      </c>
      <c r="C46" s="2" t="inlineStr">
        <is>
          <t>菲律宾</t>
        </is>
      </c>
      <c r="D46" s="2" t="inlineStr">
        <is>
          <t>否</t>
        </is>
      </c>
      <c r="E46" s="2" t="inlineStr">
        <is>
          <t>巴拉望</t>
        </is>
      </c>
      <c r="F46" s="2" t="inlineStr">
        <is>
          <t>爱妮岛/科隆</t>
        </is>
      </c>
      <c r="G46" s="2" t="inlineStr">
        <is>
          <t>海岛风光</t>
        </is>
      </c>
      <c r="H46" s="2" t="inlineStr">
        <is>
          <t>海岛天花板</t>
        </is>
      </c>
      <c r="I46" s="3" t="n">
        <v>9.4</v>
      </c>
      <c r="J46" s="3" t="n">
        <v>8</v>
      </c>
      <c r="K46" s="3" t="n">
        <v>5.8</v>
      </c>
      <c r="L46" s="3" t="n">
        <v>9.4</v>
      </c>
      <c r="M46" s="3" t="n">
        <v>8.800000000000001</v>
      </c>
      <c r="N46" s="3" t="n">
        <v>6.8</v>
      </c>
      <c r="O46" s="3" t="n">
        <v>6.4</v>
      </c>
      <c r="P46" s="4" t="inlineStr">
        <is>
          <t>2-3天</t>
        </is>
      </c>
      <c r="Q46" s="3" t="n">
        <v>1800</v>
      </c>
      <c r="R46" s="3" t="n">
        <v>5.8</v>
      </c>
      <c r="S46" s="3" t="n">
        <v>7.4</v>
      </c>
      <c r="T46" s="4" t="inlineStr">
        <is>
          <t>11月-次年5月</t>
        </is>
      </c>
      <c r="U46" s="3" t="n">
        <v>9.300000000000001</v>
      </c>
      <c r="V46" s="3" t="n">
        <v>5.8</v>
      </c>
      <c r="W46" s="3" t="n">
        <v>8.800000000000001</v>
      </c>
      <c r="X46" s="5">
        <f>IF(COUNTA(I46:O46,R46:S46,U46:W46)&lt;12,"",ROUND(I46*$B$2+J46*$B$3+K46*$B$4+L46*$B$5+M46*$B$6+N46*$B$7+O46*$B$8+R46*$B$9+S46*$B$10+U46*$B$11+V46*$B$12+W46*$B$13,2))</f>
        <v/>
      </c>
      <c r="Y46" s="4" t="inlineStr">
        <is>
          <t>官方旅游局/手动维护</t>
        </is>
      </c>
      <c r="Z46" s="4" t="inlineStr">
        <is>
          <t>5-12岁</t>
        </is>
      </c>
    </row>
    <row r="47">
      <c r="A47" s="2" t="inlineStr">
        <is>
          <t>东南亚</t>
        </is>
      </c>
      <c r="B47" s="2" t="inlineStr">
        <is>
          <t>海岛菲律宾</t>
        </is>
      </c>
      <c r="C47" s="2" t="inlineStr">
        <is>
          <t>菲律宾</t>
        </is>
      </c>
      <c r="D47" s="2" t="inlineStr">
        <is>
          <t>否</t>
        </is>
      </c>
      <c r="E47" s="2" t="inlineStr">
        <is>
          <t>薄荷岛</t>
        </is>
      </c>
      <c r="F47" s="2" t="inlineStr">
        <is>
          <t>巧克力山+海豚/眼镜猴</t>
        </is>
      </c>
      <c r="G47" s="2" t="inlineStr">
        <is>
          <t>亲子自然</t>
        </is>
      </c>
      <c r="H47" s="2" t="inlineStr">
        <is>
          <t>亲子向</t>
        </is>
      </c>
      <c r="I47" s="3" t="n">
        <v>8.699999999999999</v>
      </c>
      <c r="J47" s="3" t="n">
        <v>8.800000000000001</v>
      </c>
      <c r="K47" s="3" t="n">
        <v>6.7</v>
      </c>
      <c r="L47" s="3" t="n">
        <v>8.199999999999999</v>
      </c>
      <c r="M47" s="3" t="n">
        <v>7.8</v>
      </c>
      <c r="N47" s="3" t="n">
        <v>7</v>
      </c>
      <c r="O47" s="3" t="n">
        <v>6.6</v>
      </c>
      <c r="P47" s="4" t="inlineStr">
        <is>
          <t>1-2天</t>
        </is>
      </c>
      <c r="Q47" s="3" t="n">
        <v>1200</v>
      </c>
      <c r="R47" s="3" t="n">
        <v>6.2</v>
      </c>
      <c r="S47" s="3" t="n">
        <v>7.8</v>
      </c>
      <c r="T47" s="4" t="inlineStr">
        <is>
          <t>12月-次年5月</t>
        </is>
      </c>
      <c r="U47" s="3" t="n">
        <v>8</v>
      </c>
      <c r="V47" s="3" t="n">
        <v>6.2</v>
      </c>
      <c r="W47" s="3" t="n">
        <v>8.9</v>
      </c>
      <c r="X47" s="5">
        <f>IF(COUNTA(I47:O47,R47:S47,U47:W47)&lt;12,"",ROUND(I47*$B$2+J47*$B$3+K47*$B$4+L47*$B$5+M47*$B$6+N47*$B$7+O47*$B$8+R47*$B$9+S47*$B$10+U47*$B$11+V47*$B$12+W47*$B$13,2))</f>
        <v/>
      </c>
      <c r="Y47" s="4" t="inlineStr">
        <is>
          <t>官方旅游局/手动维护</t>
        </is>
      </c>
      <c r="Z47" s="4" t="inlineStr">
        <is>
          <t>3-12岁</t>
        </is>
      </c>
    </row>
    <row r="48">
      <c r="A48" s="2" t="inlineStr">
        <is>
          <t>东南亚</t>
        </is>
      </c>
      <c r="B48" s="2" t="inlineStr">
        <is>
          <t>小国补充</t>
        </is>
      </c>
      <c r="C48" s="2" t="inlineStr">
        <is>
          <t>文莱</t>
        </is>
      </c>
      <c r="D48" s="2" t="inlineStr">
        <is>
          <t>是</t>
        </is>
      </c>
      <c r="E48" s="2" t="inlineStr">
        <is>
          <t>斯里巴加湾</t>
        </is>
      </c>
      <c r="F48" s="2" t="inlineStr">
        <is>
          <t>奥玛阿里清真寺等城市地标</t>
        </is>
      </c>
      <c r="G48" s="2" t="inlineStr">
        <is>
          <t>城市文化</t>
        </is>
      </c>
      <c r="H48" s="2" t="inlineStr">
        <is>
          <t>短停留</t>
        </is>
      </c>
      <c r="I48" s="3" t="n">
        <v>8.199999999999999</v>
      </c>
      <c r="J48" s="3" t="n">
        <v>7</v>
      </c>
      <c r="K48" s="3" t="n">
        <v>7.2</v>
      </c>
      <c r="L48" s="3" t="n">
        <v>8</v>
      </c>
      <c r="M48" s="3" t="n">
        <v>7.8</v>
      </c>
      <c r="N48" s="3" t="n">
        <v>8.800000000000001</v>
      </c>
      <c r="O48" s="3" t="n">
        <v>8</v>
      </c>
      <c r="P48" s="4" t="inlineStr">
        <is>
          <t>0.5-1天</t>
        </is>
      </c>
      <c r="Q48" s="3" t="n">
        <v>1300</v>
      </c>
      <c r="R48" s="3" t="n">
        <v>7</v>
      </c>
      <c r="S48" s="3" t="n">
        <v>8</v>
      </c>
      <c r="T48" s="4" t="inlineStr">
        <is>
          <t>1-4月</t>
        </is>
      </c>
      <c r="U48" s="3" t="n">
        <v>7.8</v>
      </c>
      <c r="V48" s="3" t="n">
        <v>7.6</v>
      </c>
      <c r="W48" s="3" t="n">
        <v>7.4</v>
      </c>
      <c r="X48" s="5">
        <f>IF(COUNTA(I48:O48,R48:S48,U48:W48)&lt;12,"",ROUND(I48*$B$2+J48*$B$3+K48*$B$4+L48*$B$5+M48*$B$6+N48*$B$7+O48*$B$8+R48*$B$9+S48*$B$10+U48*$B$11+V48*$B$12+W48*$B$13,2))</f>
        <v/>
      </c>
      <c r="Y48" s="4" t="inlineStr">
        <is>
          <t>官方旅游局/手动维护</t>
        </is>
      </c>
      <c r="Z48" s="4" t="inlineStr">
        <is>
          <t>6-15岁</t>
        </is>
      </c>
    </row>
    <row r="49">
      <c r="A49" s="2" t="inlineStr">
        <is>
          <t>东亚</t>
        </is>
      </c>
      <c r="B49" s="2" t="inlineStr">
        <is>
          <t>日韩</t>
        </is>
      </c>
      <c r="C49" s="2" t="inlineStr">
        <is>
          <t>日本</t>
        </is>
      </c>
      <c r="D49" s="2" t="inlineStr">
        <is>
          <t>是</t>
        </is>
      </c>
      <c r="E49" s="2" t="inlineStr">
        <is>
          <t>京都</t>
        </is>
      </c>
      <c r="F49" s="2" t="inlineStr">
        <is>
          <t>京都寺社古都区</t>
        </is>
      </c>
      <c r="G49" s="2" t="inlineStr">
        <is>
          <t>文化城市</t>
        </is>
      </c>
      <c r="H49" s="2" t="inlineStr">
        <is>
          <t>东亚文化顶流</t>
        </is>
      </c>
      <c r="I49" s="3" t="n">
        <v>9.6</v>
      </c>
      <c r="J49" s="3" t="n">
        <v>8.199999999999999</v>
      </c>
      <c r="K49" s="3" t="n">
        <v>7.9</v>
      </c>
      <c r="L49" s="3" t="n">
        <v>9.5</v>
      </c>
      <c r="M49" s="3" t="n">
        <v>9.199999999999999</v>
      </c>
      <c r="N49" s="3" t="n">
        <v>9.1</v>
      </c>
      <c r="O49" s="3" t="n">
        <v>8.9</v>
      </c>
      <c r="P49" s="4" t="inlineStr">
        <is>
          <t>2天</t>
        </is>
      </c>
      <c r="Q49" s="3" t="n">
        <v>2200</v>
      </c>
      <c r="R49" s="3" t="n">
        <v>9.4</v>
      </c>
      <c r="S49" s="3" t="n">
        <v>8.199999999999999</v>
      </c>
      <c r="T49" s="4" t="inlineStr">
        <is>
          <t>3-5月, 10-11月</t>
        </is>
      </c>
      <c r="U49" s="3" t="n">
        <v>9.800000000000001</v>
      </c>
      <c r="V49" s="3" t="n">
        <v>9.1</v>
      </c>
      <c r="W49" s="3" t="n">
        <v>8.199999999999999</v>
      </c>
      <c r="X49" s="5">
        <f>IF(COUNTA(I49:O49,R49:S49,U49:W49)&lt;12,"",ROUND(I49*$B$2+J49*$B$3+K49*$B$4+L49*$B$5+M49*$B$6+N49*$B$7+O49*$B$8+R49*$B$9+S49*$B$10+U49*$B$11+V49*$B$12+W49*$B$13,2))</f>
        <v/>
      </c>
      <c r="Y49" s="4" t="inlineStr">
        <is>
          <t>官方旅游局/手动维护</t>
        </is>
      </c>
      <c r="Z49" s="4" t="inlineStr">
        <is>
          <t>5-15岁</t>
        </is>
      </c>
    </row>
    <row r="50">
      <c r="A50" s="2" t="inlineStr">
        <is>
          <t>东亚</t>
        </is>
      </c>
      <c r="B50" s="2" t="inlineStr">
        <is>
          <t>日韩</t>
        </is>
      </c>
      <c r="C50" s="2" t="inlineStr">
        <is>
          <t>日本</t>
        </is>
      </c>
      <c r="D50" s="2" t="inlineStr">
        <is>
          <t>是</t>
        </is>
      </c>
      <c r="E50" s="2" t="inlineStr">
        <is>
          <t>富士山周边</t>
        </is>
      </c>
      <c r="F50" s="2" t="inlineStr">
        <is>
          <t>富士山/河口湖</t>
        </is>
      </c>
      <c r="G50" s="2" t="inlineStr">
        <is>
          <t>自然+文化象征</t>
        </is>
      </c>
      <c r="H50" s="2" t="inlineStr">
        <is>
          <t>国民地标</t>
        </is>
      </c>
      <c r="I50" s="3" t="n">
        <v>9.5</v>
      </c>
      <c r="J50" s="3" t="n">
        <v>8.6</v>
      </c>
      <c r="K50" s="3" t="n">
        <v>7.5</v>
      </c>
      <c r="L50" s="3" t="n">
        <v>9.4</v>
      </c>
      <c r="M50" s="3" t="n">
        <v>8.800000000000001</v>
      </c>
      <c r="N50" s="3" t="n">
        <v>9</v>
      </c>
      <c r="O50" s="3" t="n">
        <v>8.699999999999999</v>
      </c>
      <c r="P50" s="4" t="inlineStr">
        <is>
          <t>1-2天</t>
        </is>
      </c>
      <c r="Q50" s="3" t="n">
        <v>1800</v>
      </c>
      <c r="R50" s="3" t="n">
        <v>8</v>
      </c>
      <c r="S50" s="3" t="n">
        <v>7.6</v>
      </c>
      <c r="T50" s="4" t="inlineStr">
        <is>
          <t>10-11月, 2-4月</t>
        </is>
      </c>
      <c r="U50" s="3" t="n">
        <v>9.699999999999999</v>
      </c>
      <c r="V50" s="3" t="n">
        <v>7.8</v>
      </c>
      <c r="W50" s="3" t="n">
        <v>8.4</v>
      </c>
      <c r="X50" s="5">
        <f>IF(COUNTA(I50:O50,R50:S50,U50:W50)&lt;12,"",ROUND(I50*$B$2+J50*$B$3+K50*$B$4+L50*$B$5+M50*$B$6+N50*$B$7+O50*$B$8+R50*$B$9+S50*$B$10+U50*$B$11+V50*$B$12+W50*$B$13,2))</f>
        <v/>
      </c>
      <c r="Y50" s="4" t="inlineStr">
        <is>
          <t>官方旅游局/手动维护</t>
        </is>
      </c>
      <c r="Z50" s="4" t="inlineStr">
        <is>
          <t>4-12岁</t>
        </is>
      </c>
    </row>
    <row r="51">
      <c r="A51" s="2" t="inlineStr">
        <is>
          <t>东亚</t>
        </is>
      </c>
      <c r="B51" s="2" t="inlineStr">
        <is>
          <t>日韩</t>
        </is>
      </c>
      <c r="C51" s="2" t="inlineStr">
        <is>
          <t>日本</t>
        </is>
      </c>
      <c r="D51" s="2" t="inlineStr">
        <is>
          <t>是</t>
        </is>
      </c>
      <c r="E51" s="2" t="inlineStr">
        <is>
          <t>北海道</t>
        </is>
      </c>
      <c r="F51" s="2" t="inlineStr">
        <is>
          <t>富良野/美瑛</t>
        </is>
      </c>
      <c r="G51" s="2" t="inlineStr">
        <is>
          <t>自然田园</t>
        </is>
      </c>
      <c r="H51" s="2" t="inlineStr">
        <is>
          <t>亲子自驾</t>
        </is>
      </c>
      <c r="I51" s="3" t="n">
        <v>8.9</v>
      </c>
      <c r="J51" s="3" t="n">
        <v>8.800000000000001</v>
      </c>
      <c r="K51" s="3" t="n">
        <v>7.8</v>
      </c>
      <c r="L51" s="3" t="n">
        <v>8.699999999999999</v>
      </c>
      <c r="M51" s="3" t="n">
        <v>7.9</v>
      </c>
      <c r="N51" s="3" t="n">
        <v>9</v>
      </c>
      <c r="O51" s="3" t="n">
        <v>8.6</v>
      </c>
      <c r="P51" s="4" t="inlineStr">
        <is>
          <t>1-2天</t>
        </is>
      </c>
      <c r="Q51" s="3" t="n">
        <v>1900</v>
      </c>
      <c r="R51" s="3" t="n">
        <v>7</v>
      </c>
      <c r="S51" s="3" t="n">
        <v>7.8</v>
      </c>
      <c r="T51" s="4" t="inlineStr">
        <is>
          <t>6-8月</t>
        </is>
      </c>
      <c r="U51" s="3" t="n">
        <v>8.5</v>
      </c>
      <c r="V51" s="3" t="n">
        <v>7.3</v>
      </c>
      <c r="W51" s="3" t="n">
        <v>7.9</v>
      </c>
      <c r="X51" s="5">
        <f>IF(COUNTA(I51:O51,R51:S51,U51:W51)&lt;12,"",ROUND(I51*$B$2+J51*$B$3+K51*$B$4+L51*$B$5+M51*$B$6+N51*$B$7+O51*$B$8+R51*$B$9+S51*$B$10+U51*$B$11+V51*$B$12+W51*$B$13,2))</f>
        <v/>
      </c>
      <c r="Y51" s="4" t="inlineStr">
        <is>
          <t>官方旅游局/手动维护</t>
        </is>
      </c>
      <c r="Z51" s="4" t="inlineStr">
        <is>
          <t>4-12岁</t>
        </is>
      </c>
    </row>
    <row r="52">
      <c r="A52" s="2" t="inlineStr">
        <is>
          <t>东亚</t>
        </is>
      </c>
      <c r="B52" s="2" t="inlineStr">
        <is>
          <t>日韩</t>
        </is>
      </c>
      <c r="C52" s="2" t="inlineStr">
        <is>
          <t>韩国</t>
        </is>
      </c>
      <c r="D52" s="2" t="inlineStr">
        <is>
          <t>是</t>
        </is>
      </c>
      <c r="E52" s="2" t="inlineStr">
        <is>
          <t>济州</t>
        </is>
      </c>
      <c r="F52" s="2" t="inlineStr">
        <is>
          <t>城山日出峰+济州自然线</t>
        </is>
      </c>
      <c r="G52" s="2" t="inlineStr">
        <is>
          <t>自然海岛</t>
        </is>
      </c>
      <c r="H52" s="2" t="inlineStr">
        <is>
          <t>轻松度假</t>
        </is>
      </c>
      <c r="I52" s="3" t="n">
        <v>8.800000000000001</v>
      </c>
      <c r="J52" s="3" t="n">
        <v>8.4</v>
      </c>
      <c r="K52" s="3" t="n">
        <v>7.5</v>
      </c>
      <c r="L52" s="3" t="n">
        <v>8.9</v>
      </c>
      <c r="M52" s="3" t="n">
        <v>8.300000000000001</v>
      </c>
      <c r="N52" s="3" t="n">
        <v>8.800000000000001</v>
      </c>
      <c r="O52" s="3" t="n">
        <v>8.300000000000001</v>
      </c>
      <c r="P52" s="4" t="inlineStr">
        <is>
          <t>1-2天</t>
        </is>
      </c>
      <c r="Q52" s="3" t="n">
        <v>1500</v>
      </c>
      <c r="R52" s="3" t="n">
        <v>8.5</v>
      </c>
      <c r="S52" s="3" t="n">
        <v>8</v>
      </c>
      <c r="T52" s="4" t="inlineStr">
        <is>
          <t>4-6月, 9-10月</t>
        </is>
      </c>
      <c r="U52" s="3" t="n">
        <v>8.4</v>
      </c>
      <c r="V52" s="3" t="n">
        <v>8</v>
      </c>
      <c r="W52" s="3" t="n">
        <v>8.5</v>
      </c>
      <c r="X52" s="5">
        <f>IF(COUNTA(I52:O52,R52:S52,U52:W52)&lt;12,"",ROUND(I52*$B$2+J52*$B$3+K52*$B$4+L52*$B$5+M52*$B$6+N52*$B$7+O52*$B$8+R52*$B$9+S52*$B$10+U52*$B$11+V52*$B$12+W52*$B$13,2))</f>
        <v/>
      </c>
      <c r="Y52" s="4" t="inlineStr">
        <is>
          <t>官方旅游局/手动维护</t>
        </is>
      </c>
      <c r="Z52" s="4" t="inlineStr">
        <is>
          <t>5-12岁</t>
        </is>
      </c>
    </row>
    <row r="53">
      <c r="A53" s="2" t="inlineStr">
        <is>
          <t>东亚</t>
        </is>
      </c>
      <c r="B53" s="2" t="inlineStr">
        <is>
          <t>日韩</t>
        </is>
      </c>
      <c r="C53" s="2" t="inlineStr">
        <is>
          <t>韩国</t>
        </is>
      </c>
      <c r="D53" s="2" t="inlineStr">
        <is>
          <t>是</t>
        </is>
      </c>
      <c r="E53" s="2" t="inlineStr">
        <is>
          <t>庆州</t>
        </is>
      </c>
      <c r="F53" s="2" t="inlineStr">
        <is>
          <t>庆州历史遗址区</t>
        </is>
      </c>
      <c r="G53" s="2" t="inlineStr">
        <is>
          <t>文化遗产</t>
        </is>
      </c>
      <c r="H53" s="2" t="inlineStr">
        <is>
          <t>东亚古都</t>
        </is>
      </c>
      <c r="I53" s="3" t="n">
        <v>8.699999999999999</v>
      </c>
      <c r="J53" s="3" t="n">
        <v>7.8</v>
      </c>
      <c r="K53" s="3" t="n">
        <v>7.8</v>
      </c>
      <c r="L53" s="3" t="n">
        <v>8.6</v>
      </c>
      <c r="M53" s="3" t="n">
        <v>8.199999999999999</v>
      </c>
      <c r="N53" s="3" t="n">
        <v>8.800000000000001</v>
      </c>
      <c r="O53" s="3" t="n">
        <v>8.199999999999999</v>
      </c>
      <c r="P53" s="4" t="inlineStr">
        <is>
          <t>1天</t>
        </is>
      </c>
      <c r="Q53" s="3" t="n">
        <v>1000</v>
      </c>
      <c r="R53" s="3" t="n">
        <v>7.8</v>
      </c>
      <c r="S53" s="3" t="n">
        <v>8.1</v>
      </c>
      <c r="T53" s="4" t="inlineStr">
        <is>
          <t>4-6月, 9-10月</t>
        </is>
      </c>
      <c r="U53" s="3" t="n">
        <v>8.9</v>
      </c>
      <c r="V53" s="3" t="n">
        <v>7.5</v>
      </c>
      <c r="W53" s="3" t="n">
        <v>9</v>
      </c>
      <c r="X53" s="5">
        <f>IF(COUNTA(I53:O53,R53:S53,U53:W53)&lt;12,"",ROUND(I53*$B$2+J53*$B$3+K53*$B$4+L53*$B$5+M53*$B$6+N53*$B$7+O53*$B$8+R53*$B$9+S53*$B$10+U53*$B$11+V53*$B$12+W53*$B$13,2))</f>
        <v/>
      </c>
      <c r="Y53" s="4" t="inlineStr">
        <is>
          <t>官方旅游局/手动维护</t>
        </is>
      </c>
      <c r="Z53" s="4" t="inlineStr">
        <is>
          <t>6-15岁</t>
        </is>
      </c>
    </row>
    <row r="54">
      <c r="A54" s="2" t="inlineStr">
        <is>
          <t>东亚</t>
        </is>
      </c>
      <c r="B54" s="2" t="inlineStr">
        <is>
          <t>蒙古</t>
        </is>
      </c>
      <c r="C54" s="2" t="inlineStr">
        <is>
          <t>蒙古国</t>
        </is>
      </c>
      <c r="D54" s="2" t="inlineStr">
        <is>
          <t>否</t>
        </is>
      </c>
      <c r="E54" s="2" t="inlineStr">
        <is>
          <t>南戈壁</t>
        </is>
      </c>
      <c r="F54" s="2" t="inlineStr">
        <is>
          <t>戈壁沙漠经典线</t>
        </is>
      </c>
      <c r="G54" s="2" t="inlineStr">
        <is>
          <t>自然探险</t>
        </is>
      </c>
      <c r="H54" s="2" t="inlineStr">
        <is>
          <t>一人游/户外向</t>
        </is>
      </c>
      <c r="I54" s="3" t="n">
        <v>8.6</v>
      </c>
      <c r="J54" s="3" t="n">
        <v>4.5</v>
      </c>
      <c r="K54" s="3" t="n">
        <v>3.8</v>
      </c>
      <c r="L54" s="3" t="n">
        <v>7.8</v>
      </c>
      <c r="M54" s="3" t="n">
        <v>8.800000000000001</v>
      </c>
      <c r="N54" s="3" t="n">
        <v>7.4</v>
      </c>
      <c r="O54" s="3" t="n">
        <v>5.6</v>
      </c>
      <c r="P54" s="4" t="inlineStr">
        <is>
          <t>3-4天</t>
        </is>
      </c>
      <c r="Q54" s="3" t="n">
        <v>2500</v>
      </c>
      <c r="R54" s="3" t="n">
        <v>4.2</v>
      </c>
      <c r="S54" s="3" t="n">
        <v>6.2</v>
      </c>
      <c r="T54" s="4" t="inlineStr">
        <is>
          <t>6-9月</t>
        </is>
      </c>
      <c r="U54" s="3" t="n">
        <v>9.1</v>
      </c>
      <c r="V54" s="3" t="n">
        <v>4.5</v>
      </c>
      <c r="W54" s="3" t="n">
        <v>8.199999999999999</v>
      </c>
      <c r="X54" s="5">
        <f>IF(COUNTA(I54:O54,R54:S54,U54:W54)&lt;12,"",ROUND(I54*$B$2+J54*$B$3+K54*$B$4+L54*$B$5+M54*$B$6+N54*$B$7+O54*$B$8+R54*$B$9+S54*$B$10+U54*$B$11+V54*$B$12+W54*$B$13,2))</f>
        <v/>
      </c>
      <c r="Y54" s="4" t="inlineStr">
        <is>
          <t>官方旅游局/手动维护</t>
        </is>
      </c>
      <c r="Z54" s="4" t="inlineStr">
        <is>
          <t>10岁+</t>
        </is>
      </c>
    </row>
  </sheetData>
  <autoFilter ref="A1:Y54"/>
  <conditionalFormatting sqref="I2:I54">
    <cfRule type="cellIs" priority="1" operator="lessThan" dxfId="0">
      <formula>6</formula>
    </cfRule>
    <cfRule type="cellIs" priority="2" operator="between" dxfId="1">
      <formula>6</formula>
      <formula>8</formula>
    </cfRule>
    <cfRule type="cellIs" priority="3" operator="greaterThanOrEqual" dxfId="2">
      <formula>8</formula>
    </cfRule>
  </conditionalFormatting>
  <conditionalFormatting sqref="J2:J54">
    <cfRule type="cellIs" priority="4" operator="lessThan" dxfId="0">
      <formula>6</formula>
    </cfRule>
    <cfRule type="cellIs" priority="5" operator="between" dxfId="1">
      <formula>6</formula>
      <formula>8</formula>
    </cfRule>
    <cfRule type="cellIs" priority="6" operator="greaterThanOrEqual" dxfId="2">
      <formula>8</formula>
    </cfRule>
  </conditionalFormatting>
  <conditionalFormatting sqref="K2:K54">
    <cfRule type="cellIs" priority="7" operator="lessThan" dxfId="0">
      <formula>6</formula>
    </cfRule>
    <cfRule type="cellIs" priority="8" operator="between" dxfId="1">
      <formula>6</formula>
      <formula>8</formula>
    </cfRule>
    <cfRule type="cellIs" priority="9" operator="greaterThanOrEqual" dxfId="2">
      <formula>8</formula>
    </cfRule>
  </conditionalFormatting>
  <conditionalFormatting sqref="L2:L54">
    <cfRule type="cellIs" priority="10" operator="lessThan" dxfId="0">
      <formula>6</formula>
    </cfRule>
    <cfRule type="cellIs" priority="11" operator="between" dxfId="1">
      <formula>6</formula>
      <formula>8</formula>
    </cfRule>
    <cfRule type="cellIs" priority="12" operator="greaterThanOrEqual" dxfId="2">
      <formula>8</formula>
    </cfRule>
  </conditionalFormatting>
  <conditionalFormatting sqref="M2:M54">
    <cfRule type="cellIs" priority="13" operator="lessThan" dxfId="0">
      <formula>6</formula>
    </cfRule>
    <cfRule type="cellIs" priority="14" operator="between" dxfId="1">
      <formula>6</formula>
      <formula>8</formula>
    </cfRule>
    <cfRule type="cellIs" priority="15" operator="greaterThanOrEqual" dxfId="2">
      <formula>8</formula>
    </cfRule>
  </conditionalFormatting>
  <conditionalFormatting sqref="N2:N54">
    <cfRule type="cellIs" priority="16" operator="lessThan" dxfId="0">
      <formula>6</formula>
    </cfRule>
    <cfRule type="cellIs" priority="17" operator="between" dxfId="1">
      <formula>6</formula>
      <formula>8</formula>
    </cfRule>
    <cfRule type="cellIs" priority="18" operator="greaterThanOrEqual" dxfId="2">
      <formula>8</formula>
    </cfRule>
  </conditionalFormatting>
  <conditionalFormatting sqref="O2:O54">
    <cfRule type="cellIs" priority="19" operator="lessThan" dxfId="0">
      <formula>6</formula>
    </cfRule>
    <cfRule type="cellIs" priority="20" operator="between" dxfId="1">
      <formula>6</formula>
      <formula>8</formula>
    </cfRule>
    <cfRule type="cellIs" priority="21" operator="greaterThanOrEqual" dxfId="2">
      <formula>8</formula>
    </cfRule>
  </conditionalFormatting>
  <conditionalFormatting sqref="P2:P54">
    <cfRule type="cellIs" priority="22" operator="lessThan" dxfId="0">
      <formula>6</formula>
    </cfRule>
    <cfRule type="cellIs" priority="23" operator="between" dxfId="1">
      <formula>6</formula>
      <formula>8</formula>
    </cfRule>
    <cfRule type="cellIs" priority="24" operator="greaterThanOrEqual" dxfId="2">
      <formula>8</formula>
    </cfRule>
  </conditionalFormatting>
  <conditionalFormatting sqref="Q2:Q54">
    <cfRule type="cellIs" priority="25" operator="lessThan" dxfId="0">
      <formula>6</formula>
    </cfRule>
    <cfRule type="cellIs" priority="26" operator="between" dxfId="1">
      <formula>6</formula>
      <formula>8</formula>
    </cfRule>
    <cfRule type="cellIs" priority="27" operator="greaterThanOrEqual" dxfId="2">
      <formula>8</formula>
    </cfRule>
  </conditionalFormatting>
  <conditionalFormatting sqref="R2:R54">
    <cfRule type="cellIs" priority="28" operator="lessThan" dxfId="0">
      <formula>6</formula>
    </cfRule>
    <cfRule type="cellIs" priority="29" operator="between" dxfId="1">
      <formula>6</formula>
      <formula>8</formula>
    </cfRule>
    <cfRule type="cellIs" priority="30" operator="greaterThanOrEqual" dxfId="2">
      <formula>8</formula>
    </cfRule>
  </conditionalFormatting>
  <conditionalFormatting sqref="S2:S54">
    <cfRule type="cellIs" priority="31" operator="lessThan" dxfId="0">
      <formula>6</formula>
    </cfRule>
    <cfRule type="cellIs" priority="32" operator="between" dxfId="1">
      <formula>6</formula>
      <formula>8</formula>
    </cfRule>
    <cfRule type="cellIs" priority="33" operator="greaterThanOrEqual" dxfId="2">
      <formula>8</formula>
    </cfRule>
  </conditionalFormatting>
  <conditionalFormatting sqref="T2:T54">
    <cfRule type="cellIs" priority="34" operator="lessThan" dxfId="0">
      <formula>6</formula>
    </cfRule>
    <cfRule type="cellIs" priority="35" operator="between" dxfId="1">
      <formula>6</formula>
      <formula>8</formula>
    </cfRule>
    <cfRule type="cellIs" priority="36" operator="greaterThanOrEqual" dxfId="2">
      <formula>8</formula>
    </cfRule>
  </conditionalFormatting>
  <conditionalFormatting sqref="U2:U54">
    <cfRule type="cellIs" priority="37" operator="lessThan" dxfId="0">
      <formula>6</formula>
    </cfRule>
    <cfRule type="cellIs" priority="38" operator="between" dxfId="1">
      <formula>6</formula>
      <formula>8</formula>
    </cfRule>
    <cfRule type="cellIs" priority="39" operator="greaterThanOrEqual" dxfId="2">
      <formula>8</formula>
    </cfRule>
  </conditionalFormatting>
  <conditionalFormatting sqref="V2:V54">
    <cfRule type="cellIs" priority="40" operator="lessThan" dxfId="0">
      <formula>6</formula>
    </cfRule>
    <cfRule type="cellIs" priority="41" operator="between" dxfId="1">
      <formula>6</formula>
      <formula>8</formula>
    </cfRule>
    <cfRule type="cellIs" priority="42" operator="greaterThanOrEqual" dxfId="2">
      <formula>8</formula>
    </cfRule>
  </conditionalFormatting>
  <conditionalFormatting sqref="W2:W54">
    <cfRule type="cellIs" priority="43" operator="lessThan" dxfId="0">
      <formula>6</formula>
    </cfRule>
    <cfRule type="cellIs" priority="44" operator="between" dxfId="1">
      <formula>6</formula>
      <formula>8</formula>
    </cfRule>
    <cfRule type="cellIs" priority="45" operator="greaterThanOrEqual" dxfId="2">
      <formula>8</formula>
    </cfRule>
  </conditionalFormatting>
  <conditionalFormatting sqref="X2:X54">
    <cfRule type="cellIs" priority="46" operator="lessThan" dxfId="0">
      <formula>6</formula>
    </cfRule>
    <cfRule type="cellIs" priority="47" operator="between" dxfId="1">
      <formula>6</formula>
      <formula>8</formula>
    </cfRule>
    <cfRule type="cellIs" priority="48" operator="greaterThanOrEqual" dxfId="2">
      <formula>8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指标</t>
        </is>
      </c>
      <c r="B1" s="1" t="inlineStr">
        <is>
          <t>权重</t>
        </is>
      </c>
    </row>
    <row r="2">
      <c r="A2" t="inlineStr">
        <is>
          <t>游客口碑</t>
        </is>
      </c>
      <c r="B2" t="n">
        <v>0.16</v>
      </c>
    </row>
    <row r="3">
      <c r="A3" t="inlineStr">
        <is>
          <t>亲子友好度</t>
        </is>
      </c>
      <c r="B3" t="n">
        <v>0.08</v>
      </c>
    </row>
    <row r="4">
      <c r="A4" t="inlineStr">
        <is>
          <t>老人友好度</t>
        </is>
      </c>
      <c r="B4" t="n">
        <v>0.08</v>
      </c>
    </row>
    <row r="5">
      <c r="A5" t="inlineStr">
        <is>
          <t>夫妻友好度</t>
        </is>
      </c>
      <c r="B5" t="n">
        <v>0.08</v>
      </c>
    </row>
    <row r="6">
      <c r="A6" t="inlineStr">
        <is>
          <t>一人游友好度</t>
        </is>
      </c>
      <c r="B6" t="n">
        <v>0.07000000000000001</v>
      </c>
    </row>
    <row r="7">
      <c r="A7" t="inlineStr">
        <is>
          <t>旅游安全度</t>
        </is>
      </c>
      <c r="B7" t="n">
        <v>0.12</v>
      </c>
    </row>
    <row r="8">
      <c r="A8" t="inlineStr">
        <is>
          <t>华人安全度</t>
        </is>
      </c>
      <c r="B8" t="n">
        <v>0.1</v>
      </c>
    </row>
    <row r="9">
      <c r="A9" t="inlineStr">
        <is>
          <t>交通可达性</t>
        </is>
      </c>
      <c r="B9" t="n">
        <v>0.09</v>
      </c>
    </row>
    <row r="10">
      <c r="A10" t="inlineStr">
        <is>
          <t>季节适宜性</t>
        </is>
      </c>
      <c r="B10" t="n">
        <v>0.05</v>
      </c>
    </row>
    <row r="11">
      <c r="A11" t="inlineStr">
        <is>
          <t>文化/生态/独特价值</t>
        </is>
      </c>
      <c r="B11" t="n">
        <v>0.08</v>
      </c>
    </row>
    <row r="12">
      <c r="A12" t="inlineStr">
        <is>
          <t>基础设施与配套</t>
        </is>
      </c>
      <c r="B12" t="n">
        <v>0.05</v>
      </c>
    </row>
    <row r="13">
      <c r="A13" t="inlineStr">
        <is>
          <t>性价比</t>
        </is>
      </c>
      <c r="B13" t="n">
        <v>0.04</v>
      </c>
    </row>
    <row r="14">
      <c r="A14" t="inlineStr">
        <is>
          <t>总计</t>
        </is>
      </c>
      <c r="B14" t="n">
        <v>1</v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区域大类</t>
        </is>
      </c>
      <c r="B1" s="1" t="inlineStr">
        <is>
          <t>子区域</t>
        </is>
      </c>
      <c r="C1" s="1" t="inlineStr">
        <is>
          <t>国家</t>
        </is>
      </c>
      <c r="D1" s="1" t="inlineStr">
        <is>
          <t>是否在样例景区库</t>
        </is>
      </c>
      <c r="E1" s="1" t="inlineStr">
        <is>
          <t>对华免签状态(2026)</t>
        </is>
      </c>
      <c r="F1" s="1" t="inlineStr">
        <is>
          <t>说明/备注</t>
        </is>
      </c>
    </row>
    <row r="2">
      <c r="A2" t="inlineStr">
        <is>
          <t>大洋洲</t>
        </is>
      </c>
      <c r="B2" t="inlineStr">
        <is>
          <t>澳洲新西兰</t>
        </is>
      </c>
      <c r="C2" t="inlineStr">
        <is>
          <t>澳大利亚</t>
        </is>
      </c>
      <c r="D2" t="inlineStr">
        <is>
          <t>是</t>
        </is>
      </c>
      <c r="E2" t="inlineStr">
        <is>
          <t>是</t>
        </is>
      </c>
      <c r="F2" t="inlineStr">
        <is>
          <t>NIA单方面免签名单</t>
        </is>
      </c>
    </row>
    <row r="3">
      <c r="A3" t="inlineStr">
        <is>
          <t>大洋洲</t>
        </is>
      </c>
      <c r="B3" t="inlineStr">
        <is>
          <t>澳洲新西兰</t>
        </is>
      </c>
      <c r="C3" t="inlineStr">
        <is>
          <t>新西兰</t>
        </is>
      </c>
      <c r="D3" t="inlineStr">
        <is>
          <t>是</t>
        </is>
      </c>
      <c r="E3" t="inlineStr">
        <is>
          <t>是</t>
        </is>
      </c>
      <c r="F3" t="inlineStr">
        <is>
          <t>NIA单方面免签名单</t>
        </is>
      </c>
    </row>
    <row r="4">
      <c r="A4" t="inlineStr">
        <is>
          <t>西亚</t>
        </is>
      </c>
      <c r="B4" t="inlineStr">
        <is>
          <t>阿拉伯半岛</t>
        </is>
      </c>
      <c r="C4" t="inlineStr">
        <is>
          <t>阿联酋</t>
        </is>
      </c>
      <c r="D4" t="inlineStr">
        <is>
          <t>是</t>
        </is>
      </c>
      <c r="E4" t="inlineStr">
        <is>
          <t>互免/免签</t>
        </is>
      </c>
      <c r="F4" t="inlineStr">
        <is>
          <t>MFA互免签证协定</t>
        </is>
      </c>
    </row>
    <row r="5">
      <c r="A5" t="inlineStr">
        <is>
          <t>西亚</t>
        </is>
      </c>
      <c r="B5" t="inlineStr">
        <is>
          <t>阿拉伯半岛</t>
        </is>
      </c>
      <c r="C5" t="inlineStr">
        <is>
          <t>沙特</t>
        </is>
      </c>
      <c r="D5" t="inlineStr">
        <is>
          <t>是</t>
        </is>
      </c>
      <c r="E5" t="inlineStr">
        <is>
          <t>是</t>
        </is>
      </c>
      <c r="F5" t="inlineStr">
        <is>
          <t>NIA单方面免签名单</t>
        </is>
      </c>
    </row>
    <row r="6">
      <c r="A6" t="inlineStr">
        <is>
          <t>西亚</t>
        </is>
      </c>
      <c r="B6" t="inlineStr">
        <is>
          <t>阿拉伯半岛</t>
        </is>
      </c>
      <c r="C6" t="inlineStr">
        <is>
          <t>阿曼</t>
        </is>
      </c>
      <c r="D6" t="inlineStr">
        <is>
          <t>是</t>
        </is>
      </c>
      <c r="E6" t="inlineStr">
        <is>
          <t>是</t>
        </is>
      </c>
      <c r="F6" t="inlineStr">
        <is>
          <t>NIA单方面免签名单</t>
        </is>
      </c>
    </row>
    <row r="7">
      <c r="A7" t="inlineStr">
        <is>
          <t>西亚</t>
        </is>
      </c>
      <c r="B7" t="inlineStr">
        <is>
          <t>阿拉伯半岛</t>
        </is>
      </c>
      <c r="C7" t="inlineStr">
        <is>
          <t>科威特</t>
        </is>
      </c>
      <c r="D7" t="inlineStr">
        <is>
          <t>否</t>
        </is>
      </c>
      <c r="E7" t="inlineStr">
        <is>
          <t>是</t>
        </is>
      </c>
      <c r="F7" t="inlineStr">
        <is>
          <t>NIA单方面免签名单</t>
        </is>
      </c>
    </row>
    <row r="8">
      <c r="A8" t="inlineStr">
        <is>
          <t>西亚</t>
        </is>
      </c>
      <c r="B8" t="inlineStr">
        <is>
          <t>阿拉伯半岛</t>
        </is>
      </c>
      <c r="C8" t="inlineStr">
        <is>
          <t>巴林</t>
        </is>
      </c>
      <c r="D8" t="inlineStr">
        <is>
          <t>否</t>
        </is>
      </c>
      <c r="E8" t="inlineStr">
        <is>
          <t>是</t>
        </is>
      </c>
      <c r="F8" t="inlineStr">
        <is>
          <t>NIA单方面免签名单</t>
        </is>
      </c>
    </row>
    <row r="9">
      <c r="A9" t="inlineStr">
        <is>
          <t>西亚</t>
        </is>
      </c>
      <c r="B9" t="inlineStr">
        <is>
          <t>阿拉伯半岛</t>
        </is>
      </c>
      <c r="C9" t="inlineStr">
        <is>
          <t>卡塔尔</t>
        </is>
      </c>
      <c r="D9" t="inlineStr">
        <is>
          <t>否</t>
        </is>
      </c>
      <c r="E9" t="inlineStr">
        <is>
          <t>否/待核</t>
        </is>
      </c>
      <c r="F9" t="inlineStr">
        <is>
          <t>可后续补充</t>
        </is>
      </c>
    </row>
    <row r="10">
      <c r="A10" t="inlineStr">
        <is>
          <t>西亚</t>
        </is>
      </c>
      <c r="B10" t="inlineStr">
        <is>
          <t>黎凡特</t>
        </is>
      </c>
      <c r="C10" t="inlineStr">
        <is>
          <t>约旦</t>
        </is>
      </c>
      <c r="D10" t="inlineStr">
        <is>
          <t>是</t>
        </is>
      </c>
      <c r="E10" t="inlineStr">
        <is>
          <t>否</t>
        </is>
      </c>
      <c r="F10" t="inlineStr">
        <is>
          <t>本模板保留</t>
        </is>
      </c>
    </row>
    <row r="11">
      <c r="A11" t="inlineStr">
        <is>
          <t>西亚</t>
        </is>
      </c>
      <c r="B11" t="inlineStr">
        <is>
          <t>黎凡特</t>
        </is>
      </c>
      <c r="C11" t="inlineStr">
        <is>
          <t>以色列</t>
        </is>
      </c>
      <c r="D11" t="inlineStr">
        <is>
          <t>否</t>
        </is>
      </c>
      <c r="E11" t="inlineStr">
        <is>
          <t>否/待核</t>
        </is>
      </c>
      <c r="F11" t="inlineStr">
        <is>
          <t>安全维度需重点评估</t>
        </is>
      </c>
    </row>
    <row r="12">
      <c r="A12" t="inlineStr">
        <is>
          <t>西亚</t>
        </is>
      </c>
      <c r="B12" t="inlineStr">
        <is>
          <t>土耳其高加索</t>
        </is>
      </c>
      <c r="C12" t="inlineStr">
        <is>
          <t>土耳其</t>
        </is>
      </c>
      <c r="D12" t="inlineStr">
        <is>
          <t>是</t>
        </is>
      </c>
      <c r="E12" t="inlineStr">
        <is>
          <t>否</t>
        </is>
      </c>
      <c r="F12" t="inlineStr">
        <is>
          <t>本模板保留</t>
        </is>
      </c>
    </row>
    <row r="13">
      <c r="A13" t="inlineStr">
        <is>
          <t>西亚</t>
        </is>
      </c>
      <c r="B13" t="inlineStr">
        <is>
          <t>土耳其高加索</t>
        </is>
      </c>
      <c r="C13" t="inlineStr">
        <is>
          <t>格鲁吉亚</t>
        </is>
      </c>
      <c r="D13" t="inlineStr">
        <is>
          <t>是</t>
        </is>
      </c>
      <c r="E13" t="inlineStr">
        <is>
          <t>互免/免签</t>
        </is>
      </c>
      <c r="F13" t="inlineStr">
        <is>
          <t>MFA互免签证协定</t>
        </is>
      </c>
    </row>
    <row r="14">
      <c r="A14" t="inlineStr">
        <is>
          <t>西亚</t>
        </is>
      </c>
      <c r="B14" t="inlineStr">
        <is>
          <t>土耳其高加索</t>
        </is>
      </c>
      <c r="C14" t="inlineStr">
        <is>
          <t>亚美尼亚</t>
        </is>
      </c>
      <c r="D14" t="inlineStr">
        <is>
          <t>否</t>
        </is>
      </c>
      <c r="E14" t="inlineStr">
        <is>
          <t>否/待核</t>
        </is>
      </c>
      <c r="F14" t="inlineStr">
        <is>
          <t>可后续补充</t>
        </is>
      </c>
    </row>
    <row r="15">
      <c r="A15" t="inlineStr">
        <is>
          <t>西亚</t>
        </is>
      </c>
      <c r="B15" t="inlineStr">
        <is>
          <t>土耳其高加索</t>
        </is>
      </c>
      <c r="C15" t="inlineStr">
        <is>
          <t>阿塞拜疆</t>
        </is>
      </c>
      <c r="D15" t="inlineStr">
        <is>
          <t>是</t>
        </is>
      </c>
      <c r="E15" t="inlineStr">
        <is>
          <t>互免/免签</t>
        </is>
      </c>
      <c r="F15" t="inlineStr">
        <is>
          <t>MFA互免签证协定</t>
        </is>
      </c>
    </row>
    <row r="16">
      <c r="A16" t="inlineStr">
        <is>
          <t>中亚</t>
        </is>
      </c>
      <c r="B16" t="inlineStr">
        <is>
          <t>中亚五国</t>
        </is>
      </c>
      <c r="C16" t="inlineStr">
        <is>
          <t>哈萨克斯坦</t>
        </is>
      </c>
      <c r="D16" t="inlineStr">
        <is>
          <t>是</t>
        </is>
      </c>
      <c r="E16" t="inlineStr">
        <is>
          <t>否</t>
        </is>
      </c>
      <c r="F16" t="inlineStr">
        <is>
          <t>本模板保留</t>
        </is>
      </c>
    </row>
    <row r="17">
      <c r="A17" t="inlineStr">
        <is>
          <t>中亚</t>
        </is>
      </c>
      <c r="B17" t="inlineStr">
        <is>
          <t>中亚五国</t>
        </is>
      </c>
      <c r="C17" t="inlineStr">
        <is>
          <t>乌兹别克斯坦</t>
        </is>
      </c>
      <c r="D17" t="inlineStr">
        <is>
          <t>是</t>
        </is>
      </c>
      <c r="E17" t="inlineStr">
        <is>
          <t>否</t>
        </is>
      </c>
      <c r="F17" t="inlineStr">
        <is>
          <t>本模板保留</t>
        </is>
      </c>
    </row>
    <row r="18">
      <c r="A18" t="inlineStr">
        <is>
          <t>中亚</t>
        </is>
      </c>
      <c r="B18" t="inlineStr">
        <is>
          <t>中亚五国</t>
        </is>
      </c>
      <c r="C18" t="inlineStr">
        <is>
          <t>吉尔吉斯斯坦</t>
        </is>
      </c>
      <c r="D18" t="inlineStr">
        <is>
          <t>是</t>
        </is>
      </c>
      <c r="E18" t="inlineStr">
        <is>
          <t>否</t>
        </is>
      </c>
      <c r="F18" t="inlineStr">
        <is>
          <t>本模板保留</t>
        </is>
      </c>
    </row>
    <row r="19">
      <c r="A19" t="inlineStr">
        <is>
          <t>中亚</t>
        </is>
      </c>
      <c r="B19" t="inlineStr">
        <is>
          <t>中亚五国</t>
        </is>
      </c>
      <c r="C19" t="inlineStr">
        <is>
          <t>塔吉克斯坦</t>
        </is>
      </c>
      <c r="D19" t="inlineStr">
        <is>
          <t>是</t>
        </is>
      </c>
      <c r="E19" t="inlineStr">
        <is>
          <t>否</t>
        </is>
      </c>
      <c r="F19" t="inlineStr">
        <is>
          <t>本模板保留</t>
        </is>
      </c>
    </row>
    <row r="20">
      <c r="A20" t="inlineStr">
        <is>
          <t>中亚</t>
        </is>
      </c>
      <c r="B20" t="inlineStr">
        <is>
          <t>中亚五国</t>
        </is>
      </c>
      <c r="C20" t="inlineStr">
        <is>
          <t>土库曼斯坦</t>
        </is>
      </c>
      <c r="D20" t="inlineStr">
        <is>
          <t>否</t>
        </is>
      </c>
      <c r="E20" t="inlineStr">
        <is>
          <t>否</t>
        </is>
      </c>
      <c r="F20" t="inlineStr">
        <is>
          <t>本模板保留</t>
        </is>
      </c>
    </row>
    <row r="21">
      <c r="A21" t="inlineStr">
        <is>
          <t>东欧</t>
        </is>
      </c>
      <c r="B21" t="inlineStr">
        <is>
          <t>中欧/东欧</t>
        </is>
      </c>
      <c r="C21" t="inlineStr">
        <is>
          <t>匈牙利</t>
        </is>
      </c>
      <c r="D21" t="inlineStr">
        <is>
          <t>是</t>
        </is>
      </c>
      <c r="E21" t="inlineStr">
        <is>
          <t>是</t>
        </is>
      </c>
      <c r="F21" t="inlineStr">
        <is>
          <t>NIA单方面免签名单</t>
        </is>
      </c>
    </row>
    <row r="22">
      <c r="A22" t="inlineStr">
        <is>
          <t>东欧</t>
        </is>
      </c>
      <c r="B22" t="inlineStr">
        <is>
          <t>中欧/东欧</t>
        </is>
      </c>
      <c r="C22" t="inlineStr">
        <is>
          <t>波兰</t>
        </is>
      </c>
      <c r="D22" t="inlineStr">
        <is>
          <t>是</t>
        </is>
      </c>
      <c r="E22" t="inlineStr">
        <is>
          <t>是</t>
        </is>
      </c>
      <c r="F22" t="inlineStr">
        <is>
          <t>NIA单方面免签名单</t>
        </is>
      </c>
    </row>
    <row r="23">
      <c r="A23" t="inlineStr">
        <is>
          <t>东欧</t>
        </is>
      </c>
      <c r="B23" t="inlineStr">
        <is>
          <t>中欧/东欧</t>
        </is>
      </c>
      <c r="C23" t="inlineStr">
        <is>
          <t>捷克</t>
        </is>
      </c>
      <c r="D23" t="inlineStr">
        <is>
          <t>是</t>
        </is>
      </c>
      <c r="E23" t="inlineStr">
        <is>
          <t>否</t>
        </is>
      </c>
      <c r="F23" t="inlineStr">
        <is>
          <t>本模板保留</t>
        </is>
      </c>
    </row>
    <row r="24">
      <c r="A24" t="inlineStr">
        <is>
          <t>东欧</t>
        </is>
      </c>
      <c r="B24" t="inlineStr">
        <is>
          <t>巴尔干</t>
        </is>
      </c>
      <c r="C24" t="inlineStr">
        <is>
          <t>克罗地亚</t>
        </is>
      </c>
      <c r="D24" t="inlineStr">
        <is>
          <t>是</t>
        </is>
      </c>
      <c r="E24" t="inlineStr">
        <is>
          <t>是</t>
        </is>
      </c>
      <c r="F24" t="inlineStr">
        <is>
          <t>NIA单方面免签名单</t>
        </is>
      </c>
    </row>
    <row r="25">
      <c r="A25" t="inlineStr">
        <is>
          <t>东欧</t>
        </is>
      </c>
      <c r="B25" t="inlineStr">
        <is>
          <t>巴尔干</t>
        </is>
      </c>
      <c r="C25" t="inlineStr">
        <is>
          <t>黑山</t>
        </is>
      </c>
      <c r="D25" t="inlineStr">
        <is>
          <t>是</t>
        </is>
      </c>
      <c r="E25" t="inlineStr">
        <is>
          <t>是</t>
        </is>
      </c>
      <c r="F25" t="inlineStr">
        <is>
          <t>NIA单方面免签名单</t>
        </is>
      </c>
    </row>
    <row r="26">
      <c r="A26" t="inlineStr">
        <is>
          <t>东欧</t>
        </is>
      </c>
      <c r="B26" t="inlineStr">
        <is>
          <t>巴尔干</t>
        </is>
      </c>
      <c r="C26" t="inlineStr">
        <is>
          <t>斯洛文尼亚</t>
        </is>
      </c>
      <c r="D26" t="inlineStr">
        <is>
          <t>是</t>
        </is>
      </c>
      <c r="E26" t="inlineStr">
        <is>
          <t>是</t>
        </is>
      </c>
      <c r="F26" t="inlineStr">
        <is>
          <t>NIA单方面免签名单</t>
        </is>
      </c>
    </row>
    <row r="27">
      <c r="A27" t="inlineStr">
        <is>
          <t>东欧</t>
        </is>
      </c>
      <c r="B27" t="inlineStr">
        <is>
          <t>巴尔干</t>
        </is>
      </c>
      <c r="C27" t="inlineStr">
        <is>
          <t>罗马尼亚</t>
        </is>
      </c>
      <c r="D27" t="inlineStr">
        <is>
          <t>是</t>
        </is>
      </c>
      <c r="E27" t="inlineStr">
        <is>
          <t>是</t>
        </is>
      </c>
      <c r="F27" t="inlineStr">
        <is>
          <t>NIA单方面免签名单</t>
        </is>
      </c>
    </row>
    <row r="28">
      <c r="A28" t="inlineStr">
        <is>
          <t>东欧</t>
        </is>
      </c>
      <c r="B28" t="inlineStr">
        <is>
          <t>巴尔干</t>
        </is>
      </c>
      <c r="C28" t="inlineStr">
        <is>
          <t>保加利亚</t>
        </is>
      </c>
      <c r="D28" t="inlineStr">
        <is>
          <t>是</t>
        </is>
      </c>
      <c r="E28" t="inlineStr">
        <is>
          <t>是</t>
        </is>
      </c>
      <c r="F28" t="inlineStr">
        <is>
          <t>NIA单方面免签名单</t>
        </is>
      </c>
    </row>
    <row r="29">
      <c r="A29" t="inlineStr">
        <is>
          <t>东欧</t>
        </is>
      </c>
      <c r="B29" t="inlineStr">
        <is>
          <t>巴尔干</t>
        </is>
      </c>
      <c r="C29" t="inlineStr">
        <is>
          <t>塞尔维亚</t>
        </is>
      </c>
      <c r="D29" t="inlineStr">
        <is>
          <t>是</t>
        </is>
      </c>
      <c r="E29" t="inlineStr">
        <is>
          <t>互免/免签</t>
        </is>
      </c>
      <c r="F29" t="inlineStr">
        <is>
          <t>MFA互免签证协定</t>
        </is>
      </c>
    </row>
    <row r="30">
      <c r="A30" t="inlineStr">
        <is>
          <t>东欧</t>
        </is>
      </c>
      <c r="B30" t="inlineStr">
        <is>
          <t>巴尔干</t>
        </is>
      </c>
      <c r="C30" t="inlineStr">
        <is>
          <t>波黑</t>
        </is>
      </c>
      <c r="D30" t="inlineStr">
        <is>
          <t>是</t>
        </is>
      </c>
      <c r="E30" t="inlineStr">
        <is>
          <t>互免/免签</t>
        </is>
      </c>
      <c r="F30" t="inlineStr">
        <is>
          <t>MFA互免签证协定</t>
        </is>
      </c>
    </row>
    <row r="31">
      <c r="A31" t="inlineStr">
        <is>
          <t>东欧</t>
        </is>
      </c>
      <c r="B31" t="inlineStr">
        <is>
          <t>巴尔干</t>
        </is>
      </c>
      <c r="C31" t="inlineStr">
        <is>
          <t>阿尔巴尼亚</t>
        </is>
      </c>
      <c r="D31" t="inlineStr">
        <is>
          <t>是</t>
        </is>
      </c>
      <c r="E31" t="inlineStr">
        <is>
          <t>互免/免签</t>
        </is>
      </c>
      <c r="F31" t="inlineStr">
        <is>
          <t>MFA互免签证协定</t>
        </is>
      </c>
    </row>
    <row r="32">
      <c r="A32" t="inlineStr">
        <is>
          <t>东欧</t>
        </is>
      </c>
      <c r="B32" t="inlineStr">
        <is>
          <t>巴尔干</t>
        </is>
      </c>
      <c r="C32" t="inlineStr">
        <is>
          <t>北马其顿</t>
        </is>
      </c>
      <c r="D32" t="inlineStr">
        <is>
          <t>否</t>
        </is>
      </c>
      <c r="E32" t="inlineStr">
        <is>
          <t>是</t>
        </is>
      </c>
      <c r="F32" t="inlineStr">
        <is>
          <t>NIA单方面免签名单</t>
        </is>
      </c>
    </row>
    <row r="33">
      <c r="A33" t="inlineStr">
        <is>
          <t>东欧</t>
        </is>
      </c>
      <c r="B33" t="inlineStr">
        <is>
          <t>波罗的海</t>
        </is>
      </c>
      <c r="C33" t="inlineStr">
        <is>
          <t>爱沙尼亚</t>
        </is>
      </c>
      <c r="D33" t="inlineStr">
        <is>
          <t>否</t>
        </is>
      </c>
      <c r="E33" t="inlineStr">
        <is>
          <t>是</t>
        </is>
      </c>
      <c r="F33" t="inlineStr">
        <is>
          <t>NIA单方面免签名单</t>
        </is>
      </c>
    </row>
    <row r="34">
      <c r="A34" t="inlineStr">
        <is>
          <t>东欧</t>
        </is>
      </c>
      <c r="B34" t="inlineStr">
        <is>
          <t>波罗的海</t>
        </is>
      </c>
      <c r="C34" t="inlineStr">
        <is>
          <t>拉脱维亚</t>
        </is>
      </c>
      <c r="D34" t="inlineStr">
        <is>
          <t>否</t>
        </is>
      </c>
      <c r="E34" t="inlineStr">
        <is>
          <t>是</t>
        </is>
      </c>
      <c r="F34" t="inlineStr">
        <is>
          <t>NIA单方面免签名单</t>
        </is>
      </c>
    </row>
    <row r="35">
      <c r="A35" t="inlineStr">
        <is>
          <t>东欧</t>
        </is>
      </c>
      <c r="B35" t="inlineStr">
        <is>
          <t>波罗的海</t>
        </is>
      </c>
      <c r="C35" t="inlineStr">
        <is>
          <t>立陶宛</t>
        </is>
      </c>
      <c r="D35" t="inlineStr">
        <is>
          <t>否</t>
        </is>
      </c>
      <c r="E35" t="inlineStr">
        <is>
          <t>否/待核</t>
        </is>
      </c>
      <c r="F35" t="inlineStr">
        <is>
          <t>可后续补充</t>
        </is>
      </c>
    </row>
    <row r="36">
      <c r="A36" t="inlineStr">
        <is>
          <t>东南亚</t>
        </is>
      </c>
      <c r="B36" t="inlineStr">
        <is>
          <t>新马泰</t>
        </is>
      </c>
      <c r="C36" t="inlineStr">
        <is>
          <t>新加坡</t>
        </is>
      </c>
      <c r="D36" t="inlineStr">
        <is>
          <t>是</t>
        </is>
      </c>
      <c r="E36" t="inlineStr">
        <is>
          <t>否</t>
        </is>
      </c>
      <c r="F36" t="inlineStr">
        <is>
          <t>本模板保留</t>
        </is>
      </c>
    </row>
    <row r="37">
      <c r="A37" t="inlineStr">
        <is>
          <t>东南亚</t>
        </is>
      </c>
      <c r="B37" t="inlineStr">
        <is>
          <t>新马泰</t>
        </is>
      </c>
      <c r="C37" t="inlineStr">
        <is>
          <t>马来西亚</t>
        </is>
      </c>
      <c r="D37" t="inlineStr">
        <is>
          <t>是</t>
        </is>
      </c>
      <c r="E37" t="inlineStr">
        <is>
          <t>否</t>
        </is>
      </c>
      <c r="F37" t="inlineStr">
        <is>
          <t>本模板保留</t>
        </is>
      </c>
    </row>
    <row r="38">
      <c r="A38" t="inlineStr">
        <is>
          <t>东南亚</t>
        </is>
      </c>
      <c r="B38" t="inlineStr">
        <is>
          <t>新马泰</t>
        </is>
      </c>
      <c r="C38" t="inlineStr">
        <is>
          <t>泰国</t>
        </is>
      </c>
      <c r="D38" t="inlineStr">
        <is>
          <t>是</t>
        </is>
      </c>
      <c r="E38" t="inlineStr">
        <is>
          <t>否</t>
        </is>
      </c>
      <c r="F38" t="inlineStr">
        <is>
          <t>本模板保留</t>
        </is>
      </c>
    </row>
    <row r="39">
      <c r="A39" t="inlineStr">
        <is>
          <t>东南亚</t>
        </is>
      </c>
      <c r="B39" t="inlineStr">
        <is>
          <t>越柬老缅</t>
        </is>
      </c>
      <c r="C39" t="inlineStr">
        <is>
          <t>越南</t>
        </is>
      </c>
      <c r="D39" t="inlineStr">
        <is>
          <t>是</t>
        </is>
      </c>
      <c r="E39" t="inlineStr">
        <is>
          <t>否</t>
        </is>
      </c>
      <c r="F39" t="inlineStr">
        <is>
          <t>本模板保留</t>
        </is>
      </c>
    </row>
    <row r="40">
      <c r="A40" t="inlineStr">
        <is>
          <t>东南亚</t>
        </is>
      </c>
      <c r="B40" t="inlineStr">
        <is>
          <t>越柬老缅</t>
        </is>
      </c>
      <c r="C40" t="inlineStr">
        <is>
          <t>柬埔寨</t>
        </is>
      </c>
      <c r="D40" t="inlineStr">
        <is>
          <t>是</t>
        </is>
      </c>
      <c r="E40" t="inlineStr">
        <is>
          <t>否</t>
        </is>
      </c>
      <c r="F40" t="inlineStr">
        <is>
          <t>本模板保留</t>
        </is>
      </c>
    </row>
    <row r="41">
      <c r="A41" t="inlineStr">
        <is>
          <t>东南亚</t>
        </is>
      </c>
      <c r="B41" t="inlineStr">
        <is>
          <t>越柬老缅</t>
        </is>
      </c>
      <c r="C41" t="inlineStr">
        <is>
          <t>老挝</t>
        </is>
      </c>
      <c r="D41" t="inlineStr">
        <is>
          <t>是</t>
        </is>
      </c>
      <c r="E41" t="inlineStr">
        <is>
          <t>否</t>
        </is>
      </c>
      <c r="F41" t="inlineStr">
        <is>
          <t>本模板保留</t>
        </is>
      </c>
    </row>
    <row r="42">
      <c r="A42" t="inlineStr">
        <is>
          <t>东南亚</t>
        </is>
      </c>
      <c r="B42" t="inlineStr">
        <is>
          <t>越柬老缅</t>
        </is>
      </c>
      <c r="C42" t="inlineStr">
        <is>
          <t>缅甸</t>
        </is>
      </c>
      <c r="D42" t="inlineStr">
        <is>
          <t>否</t>
        </is>
      </c>
      <c r="E42" t="inlineStr">
        <is>
          <t>否</t>
        </is>
      </c>
      <c r="F42" t="inlineStr">
        <is>
          <t>安全维度需重点评估</t>
        </is>
      </c>
    </row>
    <row r="43">
      <c r="A43" t="inlineStr">
        <is>
          <t>东南亚</t>
        </is>
      </c>
      <c r="B43" t="inlineStr">
        <is>
          <t>海岛印尼</t>
        </is>
      </c>
      <c r="C43" t="inlineStr">
        <is>
          <t>印度尼西亚</t>
        </is>
      </c>
      <c r="D43" t="inlineStr">
        <is>
          <t>是</t>
        </is>
      </c>
      <c r="E43" t="inlineStr">
        <is>
          <t>否</t>
        </is>
      </c>
      <c r="F43" t="inlineStr">
        <is>
          <t>本模板保留</t>
        </is>
      </c>
    </row>
    <row r="44">
      <c r="A44" t="inlineStr">
        <is>
          <t>东南亚</t>
        </is>
      </c>
      <c r="B44" t="inlineStr">
        <is>
          <t>海岛菲律宾</t>
        </is>
      </c>
      <c r="C44" t="inlineStr">
        <is>
          <t>菲律宾</t>
        </is>
      </c>
      <c r="D44" t="inlineStr">
        <is>
          <t>是</t>
        </is>
      </c>
      <c r="E44" t="inlineStr">
        <is>
          <t>否</t>
        </is>
      </c>
      <c r="F44" t="inlineStr">
        <is>
          <t>本模板保留</t>
        </is>
      </c>
    </row>
    <row r="45">
      <c r="A45" t="inlineStr">
        <is>
          <t>东南亚</t>
        </is>
      </c>
      <c r="B45" t="inlineStr">
        <is>
          <t>小国补充</t>
        </is>
      </c>
      <c r="C45" t="inlineStr">
        <is>
          <t>文莱</t>
        </is>
      </c>
      <c r="D45" t="inlineStr">
        <is>
          <t>是</t>
        </is>
      </c>
      <c r="E45" t="inlineStr">
        <is>
          <t>是</t>
        </is>
      </c>
      <c r="F45" t="inlineStr">
        <is>
          <t>NIA单方面免签名单</t>
        </is>
      </c>
    </row>
    <row r="46">
      <c r="A46" t="inlineStr">
        <is>
          <t>东南亚</t>
        </is>
      </c>
      <c r="B46" t="inlineStr">
        <is>
          <t>小国补充</t>
        </is>
      </c>
      <c r="C46" t="inlineStr">
        <is>
          <t>东帝汶</t>
        </is>
      </c>
      <c r="D46" t="inlineStr">
        <is>
          <t>否</t>
        </is>
      </c>
      <c r="E46" t="inlineStr">
        <is>
          <t>否</t>
        </is>
      </c>
      <c r="F46" t="inlineStr">
        <is>
          <t>可后续补充</t>
        </is>
      </c>
    </row>
    <row r="47">
      <c r="A47" t="inlineStr">
        <is>
          <t>东亚</t>
        </is>
      </c>
      <c r="B47" t="inlineStr">
        <is>
          <t>日韩</t>
        </is>
      </c>
      <c r="C47" t="inlineStr">
        <is>
          <t>日本</t>
        </is>
      </c>
      <c r="D47" t="inlineStr">
        <is>
          <t>是</t>
        </is>
      </c>
      <c r="E47" t="inlineStr">
        <is>
          <t>是</t>
        </is>
      </c>
      <c r="F47" t="inlineStr">
        <is>
          <t>NIA单方面免签名单</t>
        </is>
      </c>
    </row>
    <row r="48">
      <c r="A48" t="inlineStr">
        <is>
          <t>东亚</t>
        </is>
      </c>
      <c r="B48" t="inlineStr">
        <is>
          <t>日韩</t>
        </is>
      </c>
      <c r="C48" t="inlineStr">
        <is>
          <t>韩国</t>
        </is>
      </c>
      <c r="D48" t="inlineStr">
        <is>
          <t>是</t>
        </is>
      </c>
      <c r="E48" t="inlineStr">
        <is>
          <t>是</t>
        </is>
      </c>
      <c r="F48" t="inlineStr">
        <is>
          <t>NIA单方面免签名单</t>
        </is>
      </c>
    </row>
    <row r="49">
      <c r="A49" t="inlineStr">
        <is>
          <t>东亚</t>
        </is>
      </c>
      <c r="B49" t="inlineStr">
        <is>
          <t>蒙古</t>
        </is>
      </c>
      <c r="C49" t="inlineStr">
        <is>
          <t>蒙古国</t>
        </is>
      </c>
      <c r="D49" t="inlineStr">
        <is>
          <t>是</t>
        </is>
      </c>
      <c r="E49" t="inlineStr">
        <is>
          <t>否</t>
        </is>
      </c>
      <c r="F49" t="inlineStr">
        <is>
          <t>本模板保留</t>
        </is>
      </c>
    </row>
  </sheetData>
  <autoFilter ref="A1:F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排名</t>
        </is>
      </c>
      <c r="B1" s="1" t="inlineStr">
        <is>
          <t>国家</t>
        </is>
      </c>
      <c r="C1" s="1" t="inlineStr">
        <is>
          <t>城市/目的地</t>
        </is>
      </c>
      <c r="D1" s="1" t="inlineStr">
        <is>
          <t>景区/景点</t>
        </is>
      </c>
      <c r="E1" s="1" t="inlineStr">
        <is>
          <t>综合量化加权满意度</t>
        </is>
      </c>
      <c r="F1" s="1" t="inlineStr">
        <is>
          <t>旅游安全度</t>
        </is>
      </c>
      <c r="G1" s="1" t="inlineStr">
        <is>
          <t>华人安全度</t>
        </is>
      </c>
      <c r="H1" s="1" t="inlineStr">
        <is>
          <t>性价比</t>
        </is>
      </c>
      <c r="I1" s="1" t="inlineStr">
        <is>
          <t>最佳旅游季节和月份</t>
        </is>
      </c>
    </row>
    <row r="2">
      <c r="A2" t="n">
        <v>1</v>
      </c>
      <c r="B2" t="inlineStr">
        <is>
          <t>新加坡</t>
        </is>
      </c>
      <c r="C2" t="inlineStr">
        <is>
          <t>新加坡</t>
        </is>
      </c>
      <c r="D2" t="inlineStr">
        <is>
          <t>滨海湾花园+滨海湾</t>
        </is>
      </c>
      <c r="E2" t="n">
        <v>9.130000000000001</v>
      </c>
      <c r="F2" t="n">
        <v>9.5</v>
      </c>
      <c r="G2" t="n">
        <v>9.300000000000001</v>
      </c>
      <c r="H2" t="n">
        <v>6.8</v>
      </c>
      <c r="I2" t="inlineStr">
        <is>
          <t>全年; 2-4月相对舒适</t>
        </is>
      </c>
    </row>
    <row r="3">
      <c r="A3" t="n">
        <v>2</v>
      </c>
      <c r="B3" t="inlineStr">
        <is>
          <t>日本</t>
        </is>
      </c>
      <c r="C3" t="inlineStr">
        <is>
          <t>京都</t>
        </is>
      </c>
      <c r="D3" t="inlineStr">
        <is>
          <t>京都寺社古都区</t>
        </is>
      </c>
      <c r="E3" t="n">
        <v>9.029999999999999</v>
      </c>
      <c r="F3" t="n">
        <v>9.1</v>
      </c>
      <c r="G3" t="n">
        <v>8.9</v>
      </c>
      <c r="H3" t="n">
        <v>8.199999999999999</v>
      </c>
      <c r="I3" t="inlineStr">
        <is>
          <t>3-5月, 10-11月</t>
        </is>
      </c>
    </row>
    <row r="4">
      <c r="A4" t="n">
        <v>3</v>
      </c>
      <c r="B4" t="inlineStr">
        <is>
          <t>澳大利亚</t>
        </is>
      </c>
      <c r="C4" t="inlineStr">
        <is>
          <t>悉尼</t>
        </is>
      </c>
      <c r="D4" t="inlineStr">
        <is>
          <t>悉尼歌剧院+海港区</t>
        </is>
      </c>
      <c r="E4" t="n">
        <v>8.99</v>
      </c>
      <c r="F4" t="n">
        <v>8.699999999999999</v>
      </c>
      <c r="G4" t="n">
        <v>8.800000000000001</v>
      </c>
      <c r="H4" t="n">
        <v>7.8</v>
      </c>
      <c r="I4" t="inlineStr">
        <is>
          <t>全年; 9-11月, 3-5月</t>
        </is>
      </c>
    </row>
    <row r="5">
      <c r="A5" t="n">
        <v>4</v>
      </c>
      <c r="B5" t="inlineStr">
        <is>
          <t>匈牙利</t>
        </is>
      </c>
      <c r="C5" t="inlineStr">
        <is>
          <t>布达佩斯</t>
        </is>
      </c>
      <c r="D5" t="inlineStr">
        <is>
          <t>多瑙河两岸+城堡山</t>
        </is>
      </c>
      <c r="E5" t="n">
        <v>8.81</v>
      </c>
      <c r="F5" t="n">
        <v>8.5</v>
      </c>
      <c r="G5" t="n">
        <v>8.199999999999999</v>
      </c>
      <c r="H5" t="n">
        <v>8.800000000000001</v>
      </c>
      <c r="I5" t="inlineStr">
        <is>
          <t>4-6月, 9-10月</t>
        </is>
      </c>
    </row>
    <row r="6">
      <c r="A6" t="n">
        <v>5</v>
      </c>
      <c r="B6" t="inlineStr">
        <is>
          <t>阿联酋</t>
        </is>
      </c>
      <c r="C6" t="inlineStr">
        <is>
          <t>迪拜</t>
        </is>
      </c>
      <c r="D6" t="inlineStr">
        <is>
          <t>哈利法塔+迪拜市区地标群</t>
        </is>
      </c>
      <c r="E6" t="n">
        <v>8.800000000000001</v>
      </c>
      <c r="F6" t="n">
        <v>8.300000000000001</v>
      </c>
      <c r="G6" t="n">
        <v>8.699999999999999</v>
      </c>
      <c r="H6" t="n">
        <v>7</v>
      </c>
      <c r="I6" t="inlineStr">
        <is>
          <t>11月-次年3月</t>
        </is>
      </c>
    </row>
    <row r="7">
      <c r="A7" t="n">
        <v>6</v>
      </c>
      <c r="B7" t="inlineStr">
        <is>
          <t>日本</t>
        </is>
      </c>
      <c r="C7" t="inlineStr">
        <is>
          <t>富士山周边</t>
        </is>
      </c>
      <c r="D7" t="inlineStr">
        <is>
          <t>富士山/河口湖</t>
        </is>
      </c>
      <c r="E7" t="n">
        <v>8.73</v>
      </c>
      <c r="F7" t="n">
        <v>9</v>
      </c>
      <c r="G7" t="n">
        <v>8.699999999999999</v>
      </c>
      <c r="H7" t="n">
        <v>8.4</v>
      </c>
      <c r="I7" t="inlineStr">
        <is>
          <t>10-11月, 2-4月</t>
        </is>
      </c>
    </row>
    <row r="8">
      <c r="A8" t="n">
        <v>7</v>
      </c>
      <c r="B8" t="inlineStr">
        <is>
          <t>捷克</t>
        </is>
      </c>
      <c r="C8" t="inlineStr">
        <is>
          <t>布拉格</t>
        </is>
      </c>
      <c r="D8" t="inlineStr">
        <is>
          <t>布拉格历史中心</t>
        </is>
      </c>
      <c r="E8" t="n">
        <v>8.699999999999999</v>
      </c>
      <c r="F8" t="n">
        <v>8.199999999999999</v>
      </c>
      <c r="G8" t="n">
        <v>7.8</v>
      </c>
      <c r="H8" t="n">
        <v>8.4</v>
      </c>
      <c r="I8" t="inlineStr">
        <is>
          <t>4-6月, 9-10月</t>
        </is>
      </c>
    </row>
    <row r="9">
      <c r="A9" t="n">
        <v>8</v>
      </c>
      <c r="B9" t="inlineStr">
        <is>
          <t>泰国</t>
        </is>
      </c>
      <c r="C9" t="inlineStr">
        <is>
          <t>清迈</t>
        </is>
      </c>
      <c r="D9" t="inlineStr">
        <is>
          <t>古城+素贴山</t>
        </is>
      </c>
      <c r="E9" t="n">
        <v>8.52</v>
      </c>
      <c r="F9" t="n">
        <v>8</v>
      </c>
      <c r="G9" t="n">
        <v>8.6</v>
      </c>
      <c r="H9" t="n">
        <v>9.4</v>
      </c>
      <c r="I9" t="inlineStr">
        <is>
          <t>11月-次年2月</t>
        </is>
      </c>
    </row>
    <row r="10">
      <c r="A10" t="n">
        <v>9</v>
      </c>
      <c r="B10" t="inlineStr">
        <is>
          <t>波兰</t>
        </is>
      </c>
      <c r="C10" t="inlineStr">
        <is>
          <t>克拉科夫</t>
        </is>
      </c>
      <c r="D10" t="inlineStr">
        <is>
          <t>老城+瓦维尔城堡</t>
        </is>
      </c>
      <c r="E10" t="n">
        <v>8.5</v>
      </c>
      <c r="F10" t="n">
        <v>8.300000000000001</v>
      </c>
      <c r="G10" t="n">
        <v>8</v>
      </c>
      <c r="H10" t="n">
        <v>9.1</v>
      </c>
      <c r="I10" t="inlineStr">
        <is>
          <t>5-6月, 9月</t>
        </is>
      </c>
    </row>
    <row r="11">
      <c r="A11" t="n">
        <v>10</v>
      </c>
      <c r="B11" t="inlineStr">
        <is>
          <t>韩国</t>
        </is>
      </c>
      <c r="C11" t="inlineStr">
        <is>
          <t>济州</t>
        </is>
      </c>
      <c r="D11" t="inlineStr">
        <is>
          <t>城山日出峰+济州自然线</t>
        </is>
      </c>
      <c r="E11" t="n">
        <v>8.44</v>
      </c>
      <c r="F11" t="n">
        <v>8.800000000000001</v>
      </c>
      <c r="G11" t="n">
        <v>8.300000000000001</v>
      </c>
      <c r="H11" t="n">
        <v>8.5</v>
      </c>
      <c r="I11" t="inlineStr">
        <is>
          <t>4-6月, 9-10月</t>
        </is>
      </c>
    </row>
    <row r="12">
      <c r="A12" t="n">
        <v>11</v>
      </c>
      <c r="B12" t="inlineStr">
        <is>
          <t>新西兰</t>
        </is>
      </c>
      <c r="C12" t="inlineStr">
        <is>
          <t>罗托鲁瓦</t>
        </is>
      </c>
      <c r="D12" t="inlineStr">
        <is>
          <t>罗托鲁瓦地热区</t>
        </is>
      </c>
      <c r="E12" t="n">
        <v>8.41</v>
      </c>
      <c r="F12" t="n">
        <v>9.1</v>
      </c>
      <c r="G12" t="n">
        <v>8.300000000000001</v>
      </c>
      <c r="H12" t="n">
        <v>7.9</v>
      </c>
      <c r="I12" t="inlineStr">
        <is>
          <t>10月-次年4月</t>
        </is>
      </c>
    </row>
    <row r="13">
      <c r="A13" t="n">
        <v>12</v>
      </c>
      <c r="B13" t="inlineStr">
        <is>
          <t>澳大利亚</t>
        </is>
      </c>
      <c r="C13" t="inlineStr">
        <is>
          <t>大堡礁</t>
        </is>
      </c>
      <c r="D13" t="inlineStr">
        <is>
          <t>大堡礁</t>
        </is>
      </c>
      <c r="E13" t="n">
        <v>8.380000000000001</v>
      </c>
      <c r="F13" t="n">
        <v>8.5</v>
      </c>
      <c r="G13" t="n">
        <v>8</v>
      </c>
      <c r="H13" t="n">
        <v>6.9</v>
      </c>
      <c r="I13" t="inlineStr">
        <is>
          <t>6-10月</t>
        </is>
      </c>
    </row>
    <row r="14">
      <c r="A14" t="n">
        <v>13</v>
      </c>
      <c r="B14" t="inlineStr">
        <is>
          <t>土耳其</t>
        </is>
      </c>
      <c r="C14" t="inlineStr">
        <is>
          <t>伊斯坦布尔</t>
        </is>
      </c>
      <c r="D14" t="inlineStr">
        <is>
          <t>历史半岛+圣索菲亚周边</t>
        </is>
      </c>
      <c r="E14" t="n">
        <v>8.380000000000001</v>
      </c>
      <c r="F14" t="n">
        <v>7.2</v>
      </c>
      <c r="G14" t="n">
        <v>7.1</v>
      </c>
      <c r="H14" t="n">
        <v>8.5</v>
      </c>
      <c r="I14" t="inlineStr">
        <is>
          <t>4-6月, 9-11月</t>
        </is>
      </c>
    </row>
    <row r="15">
      <c r="A15" t="n">
        <v>14</v>
      </c>
      <c r="B15" t="inlineStr">
        <is>
          <t>马来西亚</t>
        </is>
      </c>
      <c r="C15" t="inlineStr">
        <is>
          <t>槟城</t>
        </is>
      </c>
      <c r="D15" t="inlineStr">
        <is>
          <t>乔治市</t>
        </is>
      </c>
      <c r="E15" t="n">
        <v>8.369999999999999</v>
      </c>
      <c r="F15" t="n">
        <v>8.199999999999999</v>
      </c>
      <c r="G15" t="n">
        <v>8.4</v>
      </c>
      <c r="H15" t="n">
        <v>9</v>
      </c>
      <c r="I15" t="inlineStr">
        <is>
          <t>12月-次年3月</t>
        </is>
      </c>
    </row>
    <row r="16">
      <c r="A16" t="n">
        <v>15</v>
      </c>
      <c r="B16" t="inlineStr">
        <is>
          <t>新西兰</t>
        </is>
      </c>
      <c r="C16" t="inlineStr">
        <is>
          <t>皇后镇/峡湾</t>
        </is>
      </c>
      <c r="D16" t="inlineStr">
        <is>
          <t>米尔福德峡湾</t>
        </is>
      </c>
      <c r="E16" t="n">
        <v>8.359999999999999</v>
      </c>
      <c r="F16" t="n">
        <v>9</v>
      </c>
      <c r="G16" t="n">
        <v>8.199999999999999</v>
      </c>
      <c r="H16" t="n">
        <v>7.2</v>
      </c>
      <c r="I16" t="inlineStr">
        <is>
          <t>11月-次年4月</t>
        </is>
      </c>
    </row>
    <row r="17">
      <c r="A17" t="n">
        <v>16</v>
      </c>
      <c r="B17" t="inlineStr">
        <is>
          <t>韩国</t>
        </is>
      </c>
      <c r="C17" t="inlineStr">
        <is>
          <t>庆州</t>
        </is>
      </c>
      <c r="D17" t="inlineStr">
        <is>
          <t>庆州历史遗址区</t>
        </is>
      </c>
      <c r="E17" t="n">
        <v>8.33</v>
      </c>
      <c r="F17" t="n">
        <v>8.800000000000001</v>
      </c>
      <c r="G17" t="n">
        <v>8.199999999999999</v>
      </c>
      <c r="H17" t="n">
        <v>9</v>
      </c>
      <c r="I17" t="inlineStr">
        <is>
          <t>4-6月, 9-10月</t>
        </is>
      </c>
    </row>
    <row r="18">
      <c r="A18" t="n">
        <v>17</v>
      </c>
      <c r="B18" t="inlineStr">
        <is>
          <t>斯洛文尼亚</t>
        </is>
      </c>
      <c r="C18" t="inlineStr">
        <is>
          <t>布莱德</t>
        </is>
      </c>
      <c r="D18" t="inlineStr">
        <is>
          <t>布莱德湖</t>
        </is>
      </c>
      <c r="E18" t="n">
        <v>8.32</v>
      </c>
      <c r="F18" t="n">
        <v>8.699999999999999</v>
      </c>
      <c r="G18" t="n">
        <v>8.1</v>
      </c>
      <c r="H18" t="n">
        <v>8.300000000000001</v>
      </c>
      <c r="I18" t="inlineStr">
        <is>
          <t>5-10月</t>
        </is>
      </c>
    </row>
    <row r="19">
      <c r="A19" t="n">
        <v>18</v>
      </c>
      <c r="B19" t="inlineStr">
        <is>
          <t>日本</t>
        </is>
      </c>
      <c r="C19" t="inlineStr">
        <is>
          <t>北海道</t>
        </is>
      </c>
      <c r="D19" t="inlineStr">
        <is>
          <t>富良野/美瑛</t>
        </is>
      </c>
      <c r="E19" t="n">
        <v>8.32</v>
      </c>
      <c r="F19" t="n">
        <v>9</v>
      </c>
      <c r="G19" t="n">
        <v>8.6</v>
      </c>
      <c r="H19" t="n">
        <v>7.9</v>
      </c>
      <c r="I19" t="inlineStr">
        <is>
          <t>6-8月</t>
        </is>
      </c>
    </row>
    <row r="20">
      <c r="A20" t="n">
        <v>19</v>
      </c>
      <c r="B20" t="inlineStr">
        <is>
          <t>印度尼西亚</t>
        </is>
      </c>
      <c r="C20" t="inlineStr">
        <is>
          <t>巴厘岛</t>
        </is>
      </c>
      <c r="D20" t="inlineStr">
        <is>
          <t>乌布+海神庙/南部海岸</t>
        </is>
      </c>
      <c r="E20" t="n">
        <v>8.27</v>
      </c>
      <c r="F20" t="n">
        <v>7.6</v>
      </c>
      <c r="G20" t="n">
        <v>7.5</v>
      </c>
      <c r="H20" t="n">
        <v>8.699999999999999</v>
      </c>
      <c r="I20" t="inlineStr">
        <is>
          <t>5-10月</t>
        </is>
      </c>
    </row>
    <row r="21">
      <c r="A21" t="n">
        <v>20</v>
      </c>
      <c r="B21" t="inlineStr">
        <is>
          <t>土耳其</t>
        </is>
      </c>
      <c r="C21" t="inlineStr">
        <is>
          <t>卡帕多奇亚</t>
        </is>
      </c>
      <c r="D21" t="inlineStr">
        <is>
          <t>卡帕多奇亚</t>
        </is>
      </c>
      <c r="E21" t="n">
        <v>8.220000000000001</v>
      </c>
      <c r="F21" t="n">
        <v>7.8</v>
      </c>
      <c r="G21" t="n">
        <v>7.4</v>
      </c>
      <c r="H21" t="n">
        <v>8.1</v>
      </c>
      <c r="I21" t="inlineStr">
        <is>
          <t>4-6月, 9-10月</t>
        </is>
      </c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用途</t>
        </is>
      </c>
      <c r="B2" t="inlineStr">
        <is>
          <t>这是“国际版 5A 景区库”的一期模板，适合继续扩展到更多国家、更多景区。</t>
        </is>
      </c>
    </row>
    <row r="3">
      <c r="A3" t="inlineStr">
        <is>
          <t>本次新增字段</t>
        </is>
      </c>
      <c r="B3" t="inlineStr">
        <is>
          <t>已增加“旅游安全度”“华人安全度”两列，并纳入综合加权评分。</t>
        </is>
      </c>
    </row>
    <row r="4">
      <c r="A4" t="inlineStr">
        <is>
          <t>旅游安全度定义</t>
        </is>
      </c>
      <c r="B4" t="inlineStr">
        <is>
          <t>面向普通游客的总体安全感评估，综合治安、诈骗/抢劫风险、道路与自然风险、突发事件管理、女性与夜间出行体感等，10分最高。</t>
        </is>
      </c>
    </row>
    <row r="5">
      <c r="A5" t="inlineStr">
        <is>
          <t>华人安全度定义</t>
        </is>
      </c>
      <c r="B5" t="inlineStr">
        <is>
          <t>面向华人/中文游客的实际体验安全感，综合对亚洲面孔友好度、针对性诈骗/歧视风险、中文支持、商家与社区接纳度、求助可获得性等，10分最高。</t>
        </is>
      </c>
    </row>
    <row r="6">
      <c r="A6" t="inlineStr">
        <is>
          <t>综合量化加权满意度</t>
        </is>
      </c>
      <c r="B6" t="inlineStr">
        <is>
          <t>按“评分权重”工作表中的权重汇总，满分10分。</t>
        </is>
      </c>
    </row>
    <row r="7">
      <c r="A7" t="inlineStr">
        <is>
          <t>当前口径</t>
        </is>
      </c>
      <c r="B7" t="inlineStr">
        <is>
          <t>国家池以‘澳洲新西兰+西亚+中亚+东欧+东南亚+东亚+对华免签相关国家池’为一期范围。</t>
        </is>
      </c>
    </row>
    <row r="8">
      <c r="A8" t="inlineStr">
        <is>
          <t>对华免签状态说明</t>
        </is>
      </c>
      <c r="B8" t="inlineStr">
        <is>
          <t>本表优先采用中国外交部互免签证协定、国家移民管理局单方面免签名单（2026年2月更新口径）；复杂情形标注为‘互免/免签’或‘否/待核’。</t>
        </is>
      </c>
    </row>
    <row r="9">
      <c r="A9" t="inlineStr">
        <is>
          <t>重要提醒</t>
        </is>
      </c>
      <c r="B9" t="inlineStr">
        <is>
          <t>安全度与华人安全度为研究型评分，不等于外交领保或保险建议；出行前仍应核查最新安全提醒。</t>
        </is>
      </c>
    </row>
    <row r="10">
      <c r="A10" t="inlineStr">
        <is>
          <t>官方参考1</t>
        </is>
      </c>
      <c r="B10" t="inlineStr">
        <is>
          <t>https://www.nia.gov.cn/n741440/n741577/c1731154/content.html</t>
        </is>
      </c>
    </row>
    <row r="11">
      <c r="A11" t="inlineStr">
        <is>
          <t>官方参考2</t>
        </is>
      </c>
      <c r="B11" t="inlineStr">
        <is>
          <t>https://www.mfa.gov.cn/wjbzwfwpt/kzx/tzgg/202504/t20250414_11594222.html</t>
        </is>
      </c>
    </row>
    <row r="12">
      <c r="A12" t="inlineStr">
        <is>
          <t>后续扩展建议</t>
        </is>
      </c>
      <c r="B12" t="inlineStr">
        <is>
          <t>下一版可继续补：国家旅游警示等级、签证成本、中文服务密度、机场转运便利度、儿童推车友好度、无障碍水平。</t>
        </is>
      </c>
    </row>
    <row r="13">
      <c r="A13" t="inlineStr">
        <is>
          <t>适合多大年龄段的小朋友一起出行</t>
        </is>
      </c>
      <c r="B13" t="inlineStr">
        <is>
          <t>描述性标签列，不纳入当前综合加权；采用标准化区间填写，如“3-12岁”“4-12岁”“6-15岁”“8岁+”“10岁+”，用于筛选适龄亲子目的地。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2026-04-11T15:20:04Z</dcterms:created>
  <dcterms:modified xmlns:dcterms="http://purl.org/dc/terms/" xmlns:xsi="http://www.w3.org/2001/XMLSchema-instance" xsi:type="dcterms:W3CDTF">2026-04-11T15:23:07Z</dcterms:modified>
</cp:coreProperties>
</file>